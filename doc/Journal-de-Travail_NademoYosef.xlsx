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945AA70B-210B-472E-A9E2-B148EC85805A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<sst xmlns="http://schemas.openxmlformats.org/spreadsheetml/2006/main" count="81" uniqueCount="54">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</sst>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275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0.76388888888888884</c:v>
                </c:pt>
                <c:pt idx="2">
                  <c:v>0</c:v>
                </c:pt>
                <c:pt idx="3">
                  <c:v>0.2361111111111111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28" sqref="F2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6 heures 0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360</v>
      </c>
      <c r="E4" s="24">
        <f>SUM(C4:D4)</f>
        <v>360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x14ac:dyDescent="0.25">
      <c r="A26" s="62">
        <f>IF(ISBLANK(B26),"",_xlfn.ISOWEEKNUM('Journal de travail'!$B26))</f>
        <v>48</v>
      </c>
      <c r="B26" s="30">
        <v>45989</v>
      </c>
      <c r="C26" s="31"/>
      <c r="D26" s="32"/>
      <c r="E26" s="33"/>
      <c r="F26" s="23"/>
      <c r="G26" s="39"/>
    </row>
    <row r="27" spans="1:15" x14ac:dyDescent="0.25">
      <c r="A27" s="63">
        <f>IF(ISBLANK(B27),"",_xlfn.ISOWEEKNUM('Journal de travail'!$B27))</f>
        <v>48</v>
      </c>
      <c r="B27" s="34">
        <v>45989</v>
      </c>
      <c r="C27" s="35"/>
      <c r="D27" s="36"/>
      <c r="E27" s="37"/>
      <c r="F27" s="23"/>
      <c r="G27" s="40"/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/>
      <c r="E28" s="33"/>
      <c r="F28" s="22"/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/>
      <c r="E29" s="37"/>
      <c r="F29" s="22"/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/>
      <c r="E30" s="33"/>
      <c r="F30" s="23"/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275</v>
      </c>
      <c r="C7">
        <f t="shared" si="0"/>
        <v>275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35 min</v>
      </c>
      <c r="G7" s="75">
        <f t="shared" ref="G7:G9" si="2">SUM(A7:B7)/$C$11</f>
        <v>0.76388888888888884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85</v>
      </c>
      <c r="C9">
        <f t="shared" si="0"/>
        <v>85</v>
      </c>
      <c r="E9" s="77" t="str">
        <f>'Journal de travail'!M11</f>
        <v>Documentation</v>
      </c>
      <c r="F9" s="74" t="str">
        <f t="shared" si="1"/>
        <v>1 h 25 min</v>
      </c>
      <c r="G9" s="75">
        <f t="shared" si="2"/>
        <v>0.2361111111111111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360</v>
      </c>
      <c r="C11">
        <f>SUM(A11:B11)</f>
        <v>360</v>
      </c>
      <c r="E11" s="81" t="s">
        <v>18</v>
      </c>
      <c r="F11" s="71" t="str">
        <f t="shared" si="1"/>
        <v>6 h 00 min</v>
      </c>
      <c r="G11" s="82">
        <f>C11/C12</f>
        <v>0.25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2025-11-28T08:06:52Z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