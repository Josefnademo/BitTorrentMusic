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31016209-D74B-4950-9C59-AC8D4C936AE8}" xr6:coauthVersionLast="47" xr6:coauthVersionMax="47" xr10:uidLastSave="{00000000-0000-0000-0000-000000000000}"/>
  <bookViews>
    <workbookView xWindow="4665" yWindow="0" windowWidth="21600" windowHeight="1560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<sst xmlns="http://schemas.openxmlformats.org/spreadsheetml/2006/main" count="89" uniqueCount="58">
  <si>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</si>
  <si>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</si>
  <si>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</si>
  <si>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</si>
  <si>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</si>
  <si>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</si>
  <si>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</si>
  <si>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</si>
  <si>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</si>
  <si>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</si>
  <si>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</si>
  <si>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</si>
  <si>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</si>
  <si>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</si>
  <si>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</si>
  <si>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</si>
  <si>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</si>
  <si>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</si>
  <si>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</si>
  <si>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</si>
  <si>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</si>
  <si>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</si>
  <si>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</si>
  <si>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</si>
  <si>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</si>
  <si>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</si>
  <si>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</si>
  <si>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</si>
  <si>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</si>
  <si>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</si>
  <si>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</si>
  <si>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</si>
  <si>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</si>
  <si>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</si>
  <si>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</si>
  <si>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</si>
  <si>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</si>
  <si>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</si>
  <si>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</si>
  <si>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</si>
  <si>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</si>
  <si>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</si>
  <si>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</si>
  <si>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</si>
  <si>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</si>
  <si>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</si>
  <si>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</si>
  <si>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</si>
  <si>
    <t xml:space="preserve"> https://www.codeproject.com/articles/Upload-and-Download-Files-From-DataGridView-Cells#comments-section </t>
  </si>
  <si>
    <t>correction de maquette, ajout de maquette.pdf, palette des couleurs</t>
  </si>
  <si>
    <t>nouveau type de tag est ajouté "featuring" dans la dataGrid</t>
  </si>
  <si>
    <t>download files from dataGrid [wip]</t>
  </si>
  <si>
    <t>sous-total du jour [28.11.2025]: 2h15</t>
  </si>
  <si>
    <t>music data added new songs for testing</t>
  </si>
  <si>
    <t>https://www.youtube.com/watch?v=7UewJo4zY2k</t>
  </si>
  <si>
    <t>MQTT C#  transferring mp3 by chunks (FileTransferService,NetworkProtocol), planing of functionement and understanding of details</t>
  </si>
  <si>
    <t>feat(NetworkProtocol)</t>
  </si>
  <si>
    <t>AskMedia() 
SendMedia()
AskCatalog()
SendCatalog()
SayOnline()
GetOnlineMediatheque()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</si>
</sst>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345</c:v>
                </c:pt>
                <c:pt idx="2">
                  <c:v>0</c:v>
                </c:pt>
                <c:pt idx="3">
                  <c:v>95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0.78409090909090906</c:v>
                </c:pt>
                <c:pt idx="2">
                  <c:v>0</c:v>
                </c:pt>
                <c:pt idx="3">
                  <c:v>0.21590909090909091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10" activePane="bottomLeft" state="frozen"/>
      <selection pane="bottomLeft" activeCell="F29" sqref="F2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7 heures 20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440</v>
      </c>
      <c r="E4" s="24">
        <f>SUM(C4:D4)</f>
        <v>440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ht="15.75" customHeight="1" x14ac:dyDescent="0.25">
      <c r="A21" s="63">
        <f>IF(ISBLANK(B21),"",_xlfn.ISOWEEKNUM('Journal de travail'!$B21))</f>
        <v>47</v>
      </c>
      <c r="B21" s="34">
        <v>45982</v>
      </c>
      <c r="C21" s="35"/>
      <c r="D21" s="36">
        <v>10</v>
      </c>
      <c r="E21" s="37" t="s">
        <v>19</v>
      </c>
      <c r="F21" s="23" t="s">
        <v>51</v>
      </c>
      <c r="G21" s="40" t="s">
        <v>48</v>
      </c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>
        <v>25</v>
      </c>
      <c r="E22" s="33" t="s">
        <v>19</v>
      </c>
      <c r="F22" s="23" t="s">
        <v>49</v>
      </c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>
        <v>25</v>
      </c>
      <c r="E23" s="37" t="s">
        <v>19</v>
      </c>
      <c r="F23" s="23" t="s">
        <v>50</v>
      </c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>
        <f>IF(ISBLANK(B25),"",_xlfn.ISOWEEKNUM('Journal de travail'!$B25))</f>
        <v>48</v>
      </c>
      <c r="B25" s="34">
        <v>45989</v>
      </c>
      <c r="C25" s="35"/>
      <c r="D25" s="36">
        <v>15</v>
      </c>
      <c r="E25" s="37" t="s">
        <v>19</v>
      </c>
      <c r="F25" s="23" t="s">
        <v>53</v>
      </c>
      <c r="G25" s="84"/>
    </row>
    <row r="26" spans="1:15" ht="31.5" x14ac:dyDescent="0.25">
      <c r="A26" s="62">
        <f>IF(ISBLANK(B26),"",_xlfn.ISOWEEKNUM('Journal de travail'!$B26))</f>
        <v>48</v>
      </c>
      <c r="B26" s="30">
        <v>45989</v>
      </c>
      <c r="C26" s="31"/>
      <c r="D26" s="32">
        <v>20</v>
      </c>
      <c r="E26" s="33" t="s">
        <v>19</v>
      </c>
      <c r="F26" s="23" t="s">
        <v>55</v>
      </c>
      <c r="G26" s="39" t="s">
        <v>54</v>
      </c>
    </row>
    <row r="27" spans="1:15" ht="94.5" x14ac:dyDescent="0.25">
      <c r="A27" s="63">
        <f>IF(ISBLANK(B27),"",_xlfn.ISOWEEKNUM('Journal de travail'!$B27))</f>
        <v>48</v>
      </c>
      <c r="B27" s="34">
        <v>45989</v>
      </c>
      <c r="C27" s="35"/>
      <c r="D27" s="36">
        <v>50</v>
      </c>
      <c r="E27" s="37" t="s">
        <v>19</v>
      </c>
      <c r="F27" s="23" t="s">
        <v>56</v>
      </c>
      <c r="G27" s="40" t="s">
        <v>57</v>
      </c>
    </row>
    <row r="28" spans="1:15" x14ac:dyDescent="0.25">
      <c r="A28" s="62">
        <f>IF(ISBLANK(B28),"",_xlfn.ISOWEEKNUM('Journal de travail'!$B28))</f>
        <v>48</v>
      </c>
      <c r="B28" s="30">
        <v>45989</v>
      </c>
      <c r="C28" s="31"/>
      <c r="D28" s="32"/>
      <c r="E28" s="33"/>
      <c r="F28" s="22"/>
      <c r="G28" s="39"/>
    </row>
    <row r="29" spans="1:15" x14ac:dyDescent="0.25">
      <c r="A29" s="63">
        <f>IF(ISBLANK(B29),"",_xlfn.ISOWEEKNUM('Journal de travail'!$B29))</f>
        <v>48</v>
      </c>
      <c r="B29" s="34">
        <v>45989</v>
      </c>
      <c r="C29" s="35"/>
      <c r="D29" s="36"/>
      <c r="E29" s="37"/>
      <c r="F29" s="22"/>
      <c r="G29" s="40"/>
    </row>
    <row r="30" spans="1:15" x14ac:dyDescent="0.25">
      <c r="A30" s="62">
        <f>IF(ISBLANK(B30),"",_xlfn.ISOWEEKNUM('Journal de travail'!$B30))</f>
        <v>48</v>
      </c>
      <c r="B30" s="30">
        <v>45989</v>
      </c>
      <c r="C30" s="31"/>
      <c r="D30" s="32">
        <v>10</v>
      </c>
      <c r="E30" s="33" t="s">
        <v>4</v>
      </c>
      <c r="F30" s="23" t="s">
        <v>37</v>
      </c>
      <c r="G30" s="39"/>
    </row>
    <row r="31" spans="1:15" x14ac:dyDescent="0.25">
      <c r="A31" s="63">
        <f>IF(ISBLANK(B31),"",_xlfn.ISOWEEKNUM('Journal de travail'!$B31))</f>
        <v>48</v>
      </c>
      <c r="B31" s="34">
        <v>45989</v>
      </c>
      <c r="C31" s="35"/>
      <c r="D31" s="36"/>
      <c r="E31" s="37"/>
      <c r="F31" s="22" t="s">
        <v>52</v>
      </c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345</v>
      </c>
      <c r="C7">
        <f t="shared" si="0"/>
        <v>345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5 h 45 min</v>
      </c>
      <c r="G7" s="75">
        <f t="shared" ref="G7:G9" si="2">SUM(A7:B7)/$C$11</f>
        <v>0.78409090909090906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95</v>
      </c>
      <c r="C9">
        <f t="shared" si="0"/>
        <v>95</v>
      </c>
      <c r="E9" s="77" t="str">
        <f>'Journal de travail'!M11</f>
        <v>Documentation</v>
      </c>
      <c r="F9" s="74" t="str">
        <f t="shared" si="1"/>
        <v>1 h 35 min</v>
      </c>
      <c r="G9" s="75">
        <f t="shared" si="2"/>
        <v>0.21590909090909091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440</v>
      </c>
      <c r="C11">
        <f>SUM(A11:B11)</f>
        <v>440</v>
      </c>
      <c r="E11" s="81" t="s">
        <v>18</v>
      </c>
      <c r="F11" s="71" t="str">
        <f t="shared" si="1"/>
        <v>7 h 20 min</v>
      </c>
      <c r="G11" s="82">
        <f>C11/C12</f>
        <v>0.30555555555555558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2025-11-28T09:05:06Z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