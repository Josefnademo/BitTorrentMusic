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BitTorrentMusic\doc\"/>
    </mc:Choice>
  </mc:AlternateContent>
  <xr:revisionPtr revIDLastSave="0" documentId="13_ncr:1_{36E10C18-6190-47D8-9EB6-B9C2F58F489E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<sst xmlns="http://schemas.openxmlformats.org/spreadsheetml/2006/main" count="71" uniqueCount="48">
  <si>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</si>
  <si>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</si>
  <si>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</si>
  <si>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</si>
  <si>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</si>
  <si>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</si>
  <si>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</si>
  <si>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</si>
  <si>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</si>
  <si>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</si>
  <si>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</si>
  <si>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</si>
  <si>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</si>
  <si>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</si>
  <si>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</si>
  <si>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</si>
  <si>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</si>
  <si>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</si>
  <si>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</si>
  <si>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</si>
  <si>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</si>
  <si>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</si>
  <si>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</si>
  <si>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</si>
  <si>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</si>
  <si>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</si>
  <si>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</si>
  <si>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</si>
  <si>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</si>
  <si>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</si>
  <si>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README.md description du projet</t>
  </si>
  <si>
    <t>gitignore pour le projet</t>
  </si>
  <si>
    <t>project Forms initial</t>
  </si>
  <si>
    <t>Planification initial du projet</t>
  </si>
  <si>
    <t>BitRuisseau</t>
  </si>
  <si>
    <t>07.11.2025 au 09.1.2025</t>
  </si>
  <si>
    <t>maquette Figma pour le projet + logo +pallete des couleurs</t>
  </si>
  <si>
    <t>journal de travail mis à jour</t>
  </si>
  <si>
    <t>construction du winforms en ajoutant chque element nécessaire</t>
  </si>
  <si>
    <t>DataGridView pour afficher Local media files  catalog et Global media files  catalog</t>
  </si>
  <si>
    <t>recherche des dossiers en utilisant button browse et monter le emplacement dans textbox(textBox_Research)</t>
  </si>
  <si>
    <t>https://stackoverflow.com/questions/32450856/how-i-can-make-a-button-for-browse-a-folder</t>
  </si>
  <si>
    <t>maquette Figma pour le projet</t>
  </si>
  <si>
    <t>.fig</t>
  </si>
  <si>
    <t xml:space="preserve">http://youtube.com/watch?v=mfAlPlVlNAM </t>
  </si>
  <si>
    <t>stylisation des datagrids</t>
  </si>
  <si>
    <t>correction stylistique-esthétique de grid dans application, pour avoir une correspendance entre maquette et application réel</t>
  </si>
  <si>
    <t>Implémentation des différentes extensions de fichiers possibles (wav, ogg, mp3), ajout d’un DataMusic pour chaque extension.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</si>
</sst>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Font="1" applyAlignment="1" applyProtection="1">
      <alignment wrapText="1"/>
      <protection locked="0"/>
    </xf>
    <xf numFmtId="0" fontId="0" fillId="0" borderId="0" xfId="0" applyFill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200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</c:v>
                </c:pt>
                <c:pt idx="1">
                  <c:v>0.70175438596491224</c:v>
                </c:pt>
                <c:pt idx="2">
                  <c:v>0</c:v>
                </c:pt>
                <c:pt idx="3">
                  <c:v>0.2982456140350877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coingecko.com/en/api?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hyperlink" Target="http://youtube.com/watch?v=mfAlPlVlNAM" TargetMode="External"/><Relationship Id="rId5" Type="http://schemas.openxmlformats.org/officeDocument/2006/relationships/hyperlink" Target="https://stackoverflow.com/questions/32450856/how-i-can-make-a-button-for-browse-a-folder" TargetMode="External"/><Relationship Id="rId4" Type="http://schemas.openxmlformats.org/officeDocument/2006/relationships/hyperlink" Target="https://gist.github.com/takekazuomi/1095588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F27" sqref="F2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92" t="s">
        <v>0</v>
      </c>
      <c r="B2" s="92"/>
      <c r="C2" s="90" t="s">
        <v>29</v>
      </c>
      <c r="D2" s="90"/>
      <c r="E2" s="90"/>
      <c r="F2" s="5" t="s">
        <v>1</v>
      </c>
      <c r="G2" s="64" t="s">
        <v>34</v>
      </c>
    </row>
    <row r="3" spans="1:15" ht="23.25" x14ac:dyDescent="0.35">
      <c r="A3" s="92" t="s">
        <v>5</v>
      </c>
      <c r="B3" s="92"/>
      <c r="C3" s="67" t="str">
        <f>QUOTIENT(E4,60)&amp;" heures "&amp;MOD(E4,60)&amp;" minutes"</f>
        <v>4 heures 45 minutes</v>
      </c>
      <c r="D3" s="17"/>
      <c r="E3" s="3"/>
      <c r="F3" s="4" t="s">
        <v>6</v>
      </c>
      <c r="G3" s="65" t="s">
        <v>35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285</v>
      </c>
      <c r="E4" s="24">
        <f>SUM(C4:D4)</f>
        <v>285</v>
      </c>
      <c r="F4" s="4"/>
      <c r="G4" s="6"/>
    </row>
    <row r="5" spans="1:15" x14ac:dyDescent="0.25">
      <c r="C5" s="91" t="s">
        <v>14</v>
      </c>
      <c r="D5" s="91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/>
      <c r="D7" s="28">
        <v>20</v>
      </c>
      <c r="E7" s="29" t="s">
        <v>4</v>
      </c>
      <c r="F7" s="23" t="s">
        <v>30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5</v>
      </c>
      <c r="E8" s="33" t="s">
        <v>4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/>
      <c r="D9" s="36">
        <v>5</v>
      </c>
      <c r="E9" s="37" t="s">
        <v>19</v>
      </c>
      <c r="F9" s="23" t="s">
        <v>32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30</v>
      </c>
      <c r="E10" s="33" t="s">
        <v>4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45</v>
      </c>
      <c r="B11" s="34">
        <v>45968</v>
      </c>
      <c r="C11" s="35"/>
      <c r="D11" s="36">
        <v>30</v>
      </c>
      <c r="E11" s="37" t="s">
        <v>19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45</v>
      </c>
      <c r="B12" s="30">
        <v>45968</v>
      </c>
      <c r="C12" s="31"/>
      <c r="D12" s="32">
        <v>10</v>
      </c>
      <c r="E12" s="33" t="s">
        <v>4</v>
      </c>
      <c r="F12" s="23" t="s">
        <v>37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25</v>
      </c>
      <c r="E13" s="37" t="s">
        <v>19</v>
      </c>
      <c r="F13" s="23" t="s">
        <v>38</v>
      </c>
      <c r="G13" s="84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46</v>
      </c>
      <c r="B14" s="30">
        <v>45975</v>
      </c>
      <c r="C14" s="31"/>
      <c r="D14" s="36">
        <v>20</v>
      </c>
      <c r="E14" s="37" t="s">
        <v>19</v>
      </c>
      <c r="F14" s="23" t="s">
        <v>40</v>
      </c>
      <c r="G14" s="85" t="s">
        <v>41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46</v>
      </c>
      <c r="B15" s="34">
        <v>45975</v>
      </c>
      <c r="C15" s="35"/>
      <c r="D15" s="32">
        <v>10</v>
      </c>
      <c r="E15" s="33" t="s">
        <v>19</v>
      </c>
      <c r="F15" s="23" t="s">
        <v>42</v>
      </c>
      <c r="G15" s="84" t="s">
        <v>43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46</v>
      </c>
      <c r="B16" s="30">
        <v>45975</v>
      </c>
      <c r="C16" s="31"/>
      <c r="D16" s="86">
        <v>40</v>
      </c>
      <c r="E16" s="87" t="s">
        <v>19</v>
      </c>
      <c r="F16" s="88" t="s">
        <v>39</v>
      </c>
      <c r="G16" s="85" t="s">
        <v>44</v>
      </c>
      <c r="O16">
        <v>40</v>
      </c>
    </row>
    <row r="17" spans="1:15" x14ac:dyDescent="0.25">
      <c r="A17" s="63">
        <f>IF(ISBLANK(B17),"",_xlfn.ISOWEEKNUM('Journal de travail'!$B17))</f>
        <v>46</v>
      </c>
      <c r="B17" s="34">
        <v>45975</v>
      </c>
      <c r="C17" s="35"/>
      <c r="D17" s="36">
        <v>20</v>
      </c>
      <c r="E17" s="37" t="s">
        <v>19</v>
      </c>
      <c r="F17" s="23" t="s">
        <v>45</v>
      </c>
      <c r="G17" s="40"/>
      <c r="O17">
        <v>45</v>
      </c>
    </row>
    <row r="18" spans="1:15" x14ac:dyDescent="0.25">
      <c r="A18" s="62">
        <f>IF(ISBLANK(B18),"",_xlfn.ISOWEEKNUM('Journal de travail'!$B18))</f>
        <v>46</v>
      </c>
      <c r="B18" s="30">
        <v>45975</v>
      </c>
      <c r="C18" s="31"/>
      <c r="D18" s="32">
        <v>10</v>
      </c>
      <c r="E18" s="33" t="s">
        <v>4</v>
      </c>
      <c r="F18" s="23" t="s">
        <v>37</v>
      </c>
      <c r="G18" s="39"/>
      <c r="O18">
        <v>50</v>
      </c>
    </row>
    <row r="19" spans="1:15" ht="31.5" x14ac:dyDescent="0.25">
      <c r="A19" s="63">
        <f>IF(ISBLANK(B19),"",_xlfn.ISOWEEKNUM('Journal de travail'!$B19))</f>
        <v>47</v>
      </c>
      <c r="B19" s="34">
        <v>45982</v>
      </c>
      <c r="C19" s="35"/>
      <c r="D19" s="36">
        <v>20</v>
      </c>
      <c r="E19" s="37" t="s">
        <v>19</v>
      </c>
      <c r="F19" s="23" t="s">
        <v>46</v>
      </c>
      <c r="G19" s="84"/>
      <c r="O19">
        <v>55</v>
      </c>
    </row>
    <row r="20" spans="1:15" ht="31.5" x14ac:dyDescent="0.25">
      <c r="A20" s="62">
        <f>IF(ISBLANK(B20),"",_xlfn.ISOWEEKNUM('Journal de travail'!$B20))</f>
        <v>47</v>
      </c>
      <c r="B20" s="30">
        <v>45982</v>
      </c>
      <c r="C20" s="31"/>
      <c r="D20" s="32">
        <v>30</v>
      </c>
      <c r="E20" s="33" t="s">
        <v>19</v>
      </c>
      <c r="F20" s="23" t="s">
        <v>47</v>
      </c>
      <c r="G20" s="89"/>
    </row>
    <row r="21" spans="1:15" x14ac:dyDescent="0.25">
      <c r="A21" s="63">
        <f>IF(ISBLANK(B21),"",_xlfn.ISOWEEKNUM('Journal de travail'!$B21))</f>
        <v>47</v>
      </c>
      <c r="B21" s="34">
        <v>45982</v>
      </c>
      <c r="C21" s="35"/>
      <c r="D21" s="36"/>
      <c r="E21" s="37"/>
      <c r="F21" s="23"/>
      <c r="G21" s="40"/>
    </row>
    <row r="22" spans="1:15" x14ac:dyDescent="0.25">
      <c r="A22" s="62">
        <f>IF(ISBLANK(B22),"",_xlfn.ISOWEEKNUM('Journal de travail'!$B22))</f>
        <v>47</v>
      </c>
      <c r="B22" s="30">
        <v>45982</v>
      </c>
      <c r="C22" s="31"/>
      <c r="D22" s="32"/>
      <c r="E22" s="33"/>
      <c r="F22" s="23"/>
      <c r="G22" s="39"/>
    </row>
    <row r="23" spans="1:15" x14ac:dyDescent="0.25">
      <c r="A23" s="63">
        <f>IF(ISBLANK(B23),"",_xlfn.ISOWEEKNUM('Journal de travail'!$B23))</f>
        <v>47</v>
      </c>
      <c r="B23" s="34">
        <v>45982</v>
      </c>
      <c r="C23" s="35"/>
      <c r="D23" s="36"/>
      <c r="E23" s="37"/>
      <c r="F23" s="23"/>
      <c r="G23" s="40"/>
    </row>
    <row r="24" spans="1:15" x14ac:dyDescent="0.25">
      <c r="A24" s="62">
        <f>IF(ISBLANK(B24),"",_xlfn.ISOWEEKNUM('Journal de travail'!$B24))</f>
        <v>47</v>
      </c>
      <c r="B24" s="30">
        <v>45982</v>
      </c>
      <c r="C24" s="31"/>
      <c r="D24" s="32">
        <v>10</v>
      </c>
      <c r="E24" s="33" t="s">
        <v>4</v>
      </c>
      <c r="F24" s="23" t="s">
        <v>37</v>
      </c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84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15 E1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15 D17:D532" xr:uid="{46510F84-8BCC-4BD6-9A19-9F03ACD74D05}">
      <formula1>$O$7:$O$19</formula1>
    </dataValidation>
    <dataValidation type="list" allowBlank="1" showInputMessage="1" showErrorMessage="1" sqref="E7:E15 E1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31" r:id="rId4" display="https://gist.github.com/takekazuomi/10955889" xr:uid="{14778DBD-AC08-49BE-B816-D74CEFC0A64E}"/>
    <hyperlink ref="G14" r:id="rId5" xr:uid="{64AB34B8-9A53-4FFA-8DD1-6FAFB9B69698}"/>
    <hyperlink ref="G16" r:id="rId6" xr:uid="{4728AE8E-9C80-4EF2-8BFD-49D552936D18}"/>
  </hyperlinks>
  <pageMargins left="0.7" right="0.7" top="0.75" bottom="0.75" header="0.3" footer="0.3"/>
  <pageSetup paperSize="9" orientation="portrait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zoomScale="70" zoomScaleNormal="70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200</v>
      </c>
      <c r="C7">
        <f t="shared" si="0"/>
        <v>200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3 h 20 min</v>
      </c>
      <c r="G7" s="75">
        <f t="shared" ref="G7:G9" si="2">SUM(A7:B7)/$C$11</f>
        <v>0.70175438596491224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85</v>
      </c>
      <c r="C9">
        <f t="shared" si="0"/>
        <v>85</v>
      </c>
      <c r="E9" s="77" t="str">
        <f>'Journal de travail'!M11</f>
        <v>Documentation</v>
      </c>
      <c r="F9" s="74" t="str">
        <f t="shared" si="1"/>
        <v>1 h 25 min</v>
      </c>
      <c r="G9" s="75">
        <f t="shared" si="2"/>
        <v>0.2982456140350877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285</v>
      </c>
      <c r="C11">
        <f>SUM(A11:B11)</f>
        <v>285</v>
      </c>
      <c r="E11" s="81" t="s">
        <v>18</v>
      </c>
      <c r="F11" s="71" t="str">
        <f t="shared" si="1"/>
        <v>4 h 45 min</v>
      </c>
      <c r="G11" s="82">
        <f>C11/C12</f>
        <v>0.19791666666666666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2025-11-21T09:04:32Z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