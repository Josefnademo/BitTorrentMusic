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2EB47D7C-EF49-4FBF-836B-9EF03B313D55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<sst xmlns="http://schemas.openxmlformats.org/spreadsheetml/2006/main" count="108" uniqueCount="67">
  <si>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</si>
  <si>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</si>
  <si>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</si>
  <si>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</si>
  <si>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</si>
  <si>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</si>
  <si>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</si>
  <si>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</si>
  <si>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</si>
  <si>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</si>
  <si>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</si>
  <si>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</si>
  <si>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</si>
  <si>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</si>
  <si>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</si>
  <si>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</si>
  <si>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</si>
  <si>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</si>
  <si>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</si>
  <si>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</si>
  <si>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</si>
  <si>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</si>
  <si>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</si>
  <si>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</si>
  <si>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</si>
  <si>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</si>
  <si>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</si>
  <si>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</si>
  <si>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</si>
  <si>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</si>
  <si>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</si>
  <si>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</si>
  <si>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</si>
  <si>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</si>
  <si>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</si>
  <si>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</si>
  <si>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</si>
  <si>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</si>
  <si>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</si>
  <si>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</si>
  <si>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</si>
  <si>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</si>
  <si>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</si>
  <si>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</si>
  <si>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</si>
  <si>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</si>
  <si>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</si>
  <si>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</si>
  <si>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</si>
  <si>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</si>
  <si>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</si>
  <si>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</si>
  <si>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</si>
  <si>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</si>
  <si>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</si>
  <si>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</si>
  <si>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</si>
  <si>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</si>
  <si>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</si>
  <si>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</si>
  <si>
    <t>sous-total du jour [05.12.2025]: 2h15</t>
  </si>
  <si>
    <t xml:space="preserve">delegates(A delegate in C# is a variable that stores a function.)     https://learn.microsoft.com/en-us/dotnet/csharp/language-reference/operators/ </t>
  </si>
  <si>
    <t>MainMenuUI; protocol.LocalCatalogProvider = GetLocalSongs;  
protocol.LocalPathProvider = GetLocalSongPath;   Doubleclick; refresh button;</t>
  </si>
  <si>
    <t>feat(NetworkProtocol)[WIP] NetworkProtocol ALL methods + configuration of broker;</t>
  </si>
  <si>
    <t>fix(NetworkProtocol.cs) bugs with version of mqttnet, and implementation of features functions for messages transfer + comments</t>
  </si>
  <si>
    <t>connexion et partage des donnees via mqtt</t>
  </si>
  <si>
    <t>correction des bugs(connexion et partage des donnees via mqtt)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</si>
</sst>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670</c:v>
                </c:pt>
                <c:pt idx="2">
                  <c:v>15</c:v>
                </c:pt>
                <c:pt idx="3">
                  <c:v>100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0.85350318471337583</c:v>
                </c:pt>
                <c:pt idx="2">
                  <c:v>1.9108280254777069E-2</c:v>
                </c:pt>
                <c:pt idx="3">
                  <c:v>0.12738853503184713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20" activePane="bottomLeft" state="frozen"/>
      <selection pane="bottomLeft" activeCell="C41" sqref="C4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13 heures 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605</v>
      </c>
      <c r="E4" s="24">
        <f>SUM(C4:D4)</f>
        <v>785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x14ac:dyDescent="0.25">
      <c r="A32" s="62">
        <f>IF(ISBLANK(B32),"",_xlfn.ISOWEEKNUM('Journal de travail'!$B32))</f>
        <v>49</v>
      </c>
      <c r="B32" s="30">
        <v>45996</v>
      </c>
      <c r="C32" s="31">
        <v>1</v>
      </c>
      <c r="D32" s="32">
        <v>15</v>
      </c>
      <c r="E32" s="33" t="s">
        <v>19</v>
      </c>
      <c r="F32" s="23" t="s">
        <v>63</v>
      </c>
      <c r="G32" s="39"/>
    </row>
    <row r="33" spans="1:7" ht="31.5" x14ac:dyDescent="0.25">
      <c r="A33" s="63">
        <f>IF(ISBLANK(B33),"",_xlfn.ISOWEEKNUM('Journal de travail'!$B33))</f>
        <v>49</v>
      </c>
      <c r="B33" s="34">
        <v>45996</v>
      </c>
      <c r="C33" s="35"/>
      <c r="D33" s="36">
        <v>55</v>
      </c>
      <c r="E33" s="37" t="s">
        <v>19</v>
      </c>
      <c r="F33" s="23" t="s">
        <v>62</v>
      </c>
      <c r="G33" s="40" t="s">
        <v>61</v>
      </c>
    </row>
    <row r="34" spans="1:7" x14ac:dyDescent="0.25">
      <c r="A34" s="62">
        <f>IF(ISBLANK(B34),"",_xlfn.ISOWEEKNUM('Journal de travail'!$B34))</f>
        <v>49</v>
      </c>
      <c r="B34" s="30">
        <v>45996</v>
      </c>
      <c r="C34" s="31"/>
      <c r="D34" s="32">
        <v>5</v>
      </c>
      <c r="E34" s="33" t="s">
        <v>4</v>
      </c>
      <c r="F34" s="22" t="s">
        <v>37</v>
      </c>
      <c r="G34" s="39"/>
    </row>
    <row r="35" spans="1:7" x14ac:dyDescent="0.25">
      <c r="A35" s="63">
        <f>IF(ISBLANK(B35),"",_xlfn.ISOWEEKNUM('Journal de travail'!$B35))</f>
        <v>49</v>
      </c>
      <c r="B35" s="34">
        <v>45996</v>
      </c>
      <c r="C35" s="35"/>
      <c r="D35" s="36"/>
      <c r="E35" s="37"/>
      <c r="F35" s="23" t="s">
        <v>60</v>
      </c>
      <c r="G35" s="40"/>
    </row>
    <row r="36" spans="1:7" x14ac:dyDescent="0.25">
      <c r="A36" s="62">
        <f>IF(ISBLANK(B36),"",_xlfn.ISOWEEKNUM('Journal de travail'!$B36))</f>
        <v>50</v>
      </c>
      <c r="B36" s="30">
        <v>46003</v>
      </c>
      <c r="C36" s="31"/>
      <c r="D36" s="32"/>
      <c r="E36" s="33" t="s">
        <v>28</v>
      </c>
      <c r="F36" s="22"/>
      <c r="G36" s="39"/>
    </row>
    <row r="37" spans="1:7" x14ac:dyDescent="0.25">
      <c r="A37" s="63">
        <f>IF(ISBLANK(B37),"",_xlfn.ISOWEEKNUM('Journal de travail'!$B37))</f>
        <v>51</v>
      </c>
      <c r="B37" s="34">
        <v>46008</v>
      </c>
      <c r="C37" s="35">
        <v>1</v>
      </c>
      <c r="D37" s="36">
        <v>35</v>
      </c>
      <c r="E37" s="37" t="s">
        <v>19</v>
      </c>
      <c r="F37" s="22" t="s">
        <v>64</v>
      </c>
      <c r="G37" s="40"/>
    </row>
    <row r="38" spans="1:7" x14ac:dyDescent="0.25">
      <c r="A38" s="62">
        <f>IF(ISBLANK(B38),"",_xlfn.ISOWEEKNUM('Journal de travail'!$B38))</f>
        <v>51</v>
      </c>
      <c r="B38" s="30">
        <v>46010</v>
      </c>
      <c r="C38" s="31"/>
      <c r="D38" s="32">
        <v>15</v>
      </c>
      <c r="E38" s="33" t="s">
        <v>3</v>
      </c>
      <c r="F38" s="22" t="s">
        <v>65</v>
      </c>
      <c r="G38" s="39"/>
    </row>
    <row r="39" spans="1:7" x14ac:dyDescent="0.25">
      <c r="A39" s="63">
        <f>IF(ISBLANK(B39),"",_xlfn.ISOWEEKNUM('Journal de travail'!$B39))</f>
        <v>51</v>
      </c>
      <c r="B39" s="34">
        <v>46010</v>
      </c>
      <c r="C39" s="35">
        <v>1</v>
      </c>
      <c r="D39" s="36"/>
      <c r="E39" s="37" t="s">
        <v>19</v>
      </c>
      <c r="F39" s="22" t="s">
        <v>66</v>
      </c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490</v>
      </c>
      <c r="C7">
        <f t="shared" si="0"/>
        <v>670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11 h 10 min</v>
      </c>
      <c r="G7" s="75">
        <f t="shared" ref="G7:G9" si="2">SUM(A7:B7)/$C$11</f>
        <v>0.85350318471337583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76" t="str">
        <f>'Journal de travail'!M10</f>
        <v>Test</v>
      </c>
      <c r="F8" s="71" t="str">
        <f t="shared" si="1"/>
        <v>0 h 15 min</v>
      </c>
      <c r="G8" s="72">
        <f t="shared" si="2"/>
        <v>1.9108280254777069E-2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100</v>
      </c>
      <c r="C9">
        <f t="shared" si="0"/>
        <v>100</v>
      </c>
      <c r="E9" s="77" t="str">
        <f>'Journal de travail'!M11</f>
        <v>Documentation</v>
      </c>
      <c r="F9" s="74" t="str">
        <f t="shared" si="1"/>
        <v>1 h 40 min</v>
      </c>
      <c r="G9" s="75">
        <f t="shared" si="2"/>
        <v>0.12738853503184713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605</v>
      </c>
      <c r="C11">
        <f>SUM(A11:B11)</f>
        <v>785</v>
      </c>
      <c r="E11" s="81" t="s">
        <v>18</v>
      </c>
      <c r="F11" s="71" t="str">
        <f t="shared" si="1"/>
        <v>13 h 05 min</v>
      </c>
      <c r="G11" s="82">
        <f>C11/C12</f>
        <v>0.54513888888888884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2025-12-19T07:57:56Z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