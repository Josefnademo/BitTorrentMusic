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556C1A1A-F7B0-4FBB-A373-F7ED708DB07B}" xr6:coauthVersionLast="47" xr6:coauthVersionMax="47" xr10:uidLastSave="{00000000-0000-0000-0000-000000000000}"/>
  <bookViews>
    <workbookView xWindow="33855" yWindow="0" windowWidth="21600" windowHeight="1560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<sst xmlns="http://schemas.openxmlformats.org/spreadsheetml/2006/main" count="118" uniqueCount="73">
  <si>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</si>
  <si>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</si>
  <si>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</si>
  <si>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</si>
  <si>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</si>
  <si>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</si>
  <si>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</si>
  <si>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</si>
  <si>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</si>
  <si>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</si>
  <si>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</si>
  <si>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</si>
  <si>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</si>
  <si>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</si>
  <si>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</si>
  <si>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</si>
  <si>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</si>
  <si>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</si>
  <si>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</si>
  <si>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</si>
  <si>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</si>
  <si>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</si>
  <si>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</si>
  <si>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</si>
  <si>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</si>
  <si>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</si>
  <si>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</si>
  <si>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</si>
  <si>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</si>
  <si>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</si>
  <si>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</si>
  <si>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</si>
  <si>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</si>
  <si>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</si>
  <si>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</si>
  <si>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</si>
  <si>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</si>
  <si>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</si>
  <si>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</si>
  <si>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</si>
  <si>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</si>
  <si>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</si>
  <si>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</si>
  <si>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</si>
  <si>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</si>
  <si>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</si>
  <si>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</si>
  <si>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</si>
  <si>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</si>
  <si>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</si>
  <si>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</si>
  <si>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</si>
  <si>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</si>
  <si>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</si>
  <si>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</si>
  <si>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</si>
  <si>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</si>
  <si>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</si>
  <si>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</si>
  <si>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</si>
  <si>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</si>
  <si>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</si>
  <si>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</si>
  <si>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</si>
  <si>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</si>
  <si>
    <t>connexion et partage des donnees via mqtt</t>
  </si>
  <si>
    <t>correction des bugs(connexion et partage des donnees via mqtt)</t>
  </si>
  <si>
    <t>Documentation Technique - BitTorrentMusic.md</t>
  </si>
  <si>
    <t>addapted for class protocol and requests, to not be DEAF</t>
  </si>
  <si>
    <t>récompensé chez moi (17.12.2025) 1h35min</t>
  </si>
  <si>
    <t>chez moi</t>
  </si>
  <si>
    <t xml:space="preserve">OnMessage, switch, names of  actions in switch;   https://www.emqx.com/en/blog/connecting-to-serverless-mqtt-broker-with-mqttnet-in-csharp </t>
  </si>
  <si>
    <t>https://www.emqx.com/en/blog/connecting-to-serverless-mqtt-broker-with-mqttnet-in-csharp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</si>
</sst>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685</c:v>
                </c:pt>
                <c:pt idx="2">
                  <c:v>15</c:v>
                </c:pt>
                <c:pt idx="3">
                  <c:v>155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0.80116959064327486</c:v>
                </c:pt>
                <c:pt idx="2">
                  <c:v>1.7543859649122806E-2</c:v>
                </c:pt>
                <c:pt idx="3">
                  <c:v>0.18128654970760233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coingecko.com/en/api?" TargetMode="External"/><Relationship Id="rId7" Type="http://schemas.openxmlformats.org/officeDocument/2006/relationships/hyperlink" Target="https://www.emqx.com/en/blog/connecting-to-serverless-mqtt-broker-with-mqttnet-in-csharp" TargetMode="Externa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1" activePane="bottomLeft" state="frozen"/>
      <selection pane="bottomLeft" activeCell="F43" sqref="F4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14 heures 15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735</v>
      </c>
      <c r="E4" s="24">
        <f>SUM(C4:D4)</f>
        <v>855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ht="31.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85" t="s">
        <v>72</v>
      </c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28</v>
      </c>
      <c r="F36" s="22" t="s">
        <v>69</v>
      </c>
      <c r="G36" s="39"/>
    </row>
    <row r="37" spans="1:7" x14ac:dyDescent="0.25">
      <c r="A37" s="63">
        <f>IF(ISBLANK(B37),"",_xlfn.ISOWEEKNUM('Journal de travail'!$B37))</f>
        <v>51</v>
      </c>
      <c r="B37" s="34">
        <v>46008</v>
      </c>
      <c r="C37" s="35">
        <v>1</v>
      </c>
      <c r="D37" s="36">
        <v>35</v>
      </c>
      <c r="E37" s="37" t="s">
        <v>19</v>
      </c>
      <c r="F37" s="22" t="s">
        <v>64</v>
      </c>
      <c r="G37" s="40" t="s">
        <v>70</v>
      </c>
    </row>
    <row r="38" spans="1:7" x14ac:dyDescent="0.25">
      <c r="A38" s="62">
        <f>IF(ISBLANK(B38),"",_xlfn.ISOWEEKNUM('Journal de travail'!$B38))</f>
        <v>51</v>
      </c>
      <c r="B38" s="30">
        <v>46010</v>
      </c>
      <c r="C38" s="31"/>
      <c r="D38" s="32">
        <v>15</v>
      </c>
      <c r="E38" s="33" t="s">
        <v>3</v>
      </c>
      <c r="F38" s="22" t="s">
        <v>65</v>
      </c>
      <c r="G38" s="39"/>
    </row>
    <row r="39" spans="1:7" x14ac:dyDescent="0.25">
      <c r="A39" s="63">
        <f>IF(ISBLANK(B39),"",_xlfn.ISOWEEKNUM('Journal de travail'!$B39))</f>
        <v>51</v>
      </c>
      <c r="B39" s="34">
        <v>46010</v>
      </c>
      <c r="C39" s="35"/>
      <c r="D39" s="36">
        <v>30</v>
      </c>
      <c r="E39" s="37" t="s">
        <v>19</v>
      </c>
      <c r="F39" s="22" t="s">
        <v>66</v>
      </c>
      <c r="G39" s="40"/>
    </row>
    <row r="40" spans="1:7" x14ac:dyDescent="0.25">
      <c r="A40" s="62">
        <f>IF(ISBLANK(B40),"",_xlfn.ISOWEEKNUM('Journal de travail'!$B40))</f>
        <v>51</v>
      </c>
      <c r="B40" s="30">
        <v>46010</v>
      </c>
      <c r="C40" s="31"/>
      <c r="D40" s="32">
        <v>50</v>
      </c>
      <c r="E40" s="33" t="s">
        <v>4</v>
      </c>
      <c r="F40" s="22" t="s">
        <v>67</v>
      </c>
      <c r="G40" s="39"/>
    </row>
    <row r="41" spans="1:7" ht="47.25" x14ac:dyDescent="0.25">
      <c r="A41" s="63">
        <f>IF(ISBLANK(B41),"",_xlfn.ISOWEEKNUM('Journal de travail'!$B41))</f>
        <v>51</v>
      </c>
      <c r="B41" s="34">
        <v>46010</v>
      </c>
      <c r="C41" s="35"/>
      <c r="D41" s="36">
        <v>45</v>
      </c>
      <c r="E41" s="37" t="s">
        <v>19</v>
      </c>
      <c r="F41" s="22" t="s">
        <v>68</v>
      </c>
      <c r="G41" s="40" t="s">
        <v>71</v>
      </c>
    </row>
    <row r="42" spans="1:7" x14ac:dyDescent="0.25">
      <c r="A42" s="62">
        <f>IF(ISBLANK(B42),"",_xlfn.ISOWEEKNUM('Journal de travail'!$B42))</f>
        <v>51</v>
      </c>
      <c r="B42" s="30">
        <v>46010</v>
      </c>
      <c r="C42" s="31"/>
      <c r="D42" s="32">
        <v>5</v>
      </c>
      <c r="E42" s="33" t="s">
        <v>4</v>
      </c>
      <c r="F42" s="22" t="s">
        <v>37</v>
      </c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  <hyperlink ref="G32" r:id="rId7" xr:uid="{698FEDA0-59EA-42A4-AD26-DA69F598CB1B}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565</v>
      </c>
      <c r="C7">
        <f t="shared" si="0"/>
        <v>685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11 h 25 min</v>
      </c>
      <c r="G7" s="75">
        <f t="shared" ref="G7:G9" si="2">SUM(A7:B7)/$C$11</f>
        <v>0.80116959064327486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76" t="str">
        <f>'Journal de travail'!M10</f>
        <v>Test</v>
      </c>
      <c r="F8" s="71" t="str">
        <f t="shared" si="1"/>
        <v>0 h 15 min</v>
      </c>
      <c r="G8" s="72">
        <f t="shared" si="2"/>
        <v>1.7543859649122806E-2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155</v>
      </c>
      <c r="C9">
        <f t="shared" si="0"/>
        <v>155</v>
      </c>
      <c r="E9" s="77" t="str">
        <f>'Journal de travail'!M11</f>
        <v>Documentation</v>
      </c>
      <c r="F9" s="74" t="str">
        <f t="shared" si="1"/>
        <v>2 h 35 min</v>
      </c>
      <c r="G9" s="75">
        <f t="shared" si="2"/>
        <v>0.18128654970760233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735</v>
      </c>
      <c r="C11">
        <f>SUM(A11:B11)</f>
        <v>855</v>
      </c>
      <c r="E11" s="81" t="s">
        <v>18</v>
      </c>
      <c r="F11" s="71" t="str">
        <f t="shared" si="1"/>
        <v>14 h 15 min</v>
      </c>
      <c r="G11" s="82">
        <f>C11/C12</f>
        <v>0.59375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2025-12-19T10:26:40Z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