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BitTorrentMusic\doc\"/>
    </mc:Choice>
  </mc:AlternateContent>
  <xr:revisionPtr revIDLastSave="0" documentId="13_ncr:1_{A9EC0074-C610-49D2-9AFB-01D448AC1096}" xr6:coauthVersionLast="47" xr6:coauthVersionMax="47" xr10:uidLastSave="{00000000-0000-0000-0000-000000000000}"/>
  <bookViews>
    <workbookView xWindow="29925" yWindow="112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<sst xmlns="http://schemas.openxmlformats.org/spreadsheetml/2006/main" count="65" uniqueCount="46">
  <si>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</si>
  <si>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</si>
  <si>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</si>
  <si>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</si>
  <si>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</si>
  <si>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</si>
  <si>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</si>
  <si>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</si>
  <si>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</si>
  <si>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</si>
  <si>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</si>
  <si>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</si>
  <si>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</si>
  <si>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</si>
  <si>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</si>
  <si>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</si>
  <si>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</si>
  <si>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</si>
  <si>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</si>
  <si>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</si>
  <si>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</si>
  <si>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</si>
  <si>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</si>
  <si>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</si>
  <si>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</si>
  <si>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</si>
  <si>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</si>
  <si>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</si>
  <si>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</si>
  <si>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</si>
  <si>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README.md description du projet</t>
  </si>
  <si>
    <t>gitignore pour le projet</t>
  </si>
  <si>
    <t>project Forms initial</t>
  </si>
  <si>
    <t>Planification initial du projet</t>
  </si>
  <si>
    <t>BitRuisseau</t>
  </si>
  <si>
    <t>07.11.2025 au 09.1.2025</t>
  </si>
  <si>
    <t>maquette Figma pour le projet + logo +pallete des couleurs</t>
  </si>
  <si>
    <t>journal de travail mis à jour</t>
  </si>
  <si>
    <t>construction du winforms en ajoutant chque element nécessaire</t>
  </si>
  <si>
    <t>DataGridView pour afficher Local media files  catalog et Global media files  catalog</t>
  </si>
  <si>
    <t>recherche des dossiers en utilisant button browse et monter le emplacement dans textbox(textBox_Research)</t>
  </si>
  <si>
    <t>https://stackoverflow.com/questions/32450856/how-i-can-make-a-button-for-browse-a-folder</t>
  </si>
  <si>
    <t>maquette Figma pour le projet</t>
  </si>
  <si>
    <t>.fig</t>
  </si>
  <si>
    <t xml:space="preserve">http://youtube.com/watch?v=mfAlPlVlNAM </t>
  </si>
  <si>
    <t>stylisation des datagrids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</si>
</sst>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3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Font="1" applyAlignment="1" applyProtection="1">
      <alignment wrapText="1"/>
      <protection locked="0"/>
    </xf>
    <xf numFmtId="0" fontId="0" fillId="0" borderId="0" xfId="0" applyFill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150</c:v>
                </c:pt>
                <c:pt idx="2">
                  <c:v>0</c:v>
                </c:pt>
                <c:pt idx="3">
                  <c:v>75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</c:v>
                </c:pt>
                <c:pt idx="1">
                  <c:v>0.66666666666666663</c:v>
                </c:pt>
                <c:pt idx="2">
                  <c:v>0</c:v>
                </c:pt>
                <c:pt idx="3">
                  <c:v>0.33333333333333331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coingecko.com/en/api?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users/Josefnademo/projects/5/views/1" TargetMode="External"/><Relationship Id="rId1" Type="http://schemas.openxmlformats.org/officeDocument/2006/relationships/hyperlink" Target="https://www.youtube.com/watch?v=HGF1fm1vmIk&amp;ab_channel=IndustrialITandAutomation" TargetMode="External"/><Relationship Id="rId6" Type="http://schemas.openxmlformats.org/officeDocument/2006/relationships/hyperlink" Target="http://youtube.com/watch?v=mfAlPlVlNAM" TargetMode="External"/><Relationship Id="rId5" Type="http://schemas.openxmlformats.org/officeDocument/2006/relationships/hyperlink" Target="https://stackoverflow.com/questions/32450856/how-i-can-make-a-button-for-browse-a-folder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F19" sqref="F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92" t="s">
        <v>0</v>
      </c>
      <c r="B2" s="92"/>
      <c r="C2" s="90" t="s">
        <v>29</v>
      </c>
      <c r="D2" s="90"/>
      <c r="E2" s="90"/>
      <c r="F2" s="5" t="s">
        <v>1</v>
      </c>
      <c r="G2" s="64" t="s">
        <v>34</v>
      </c>
    </row>
    <row r="3" spans="1:15" ht="23.25" x14ac:dyDescent="0.35">
      <c r="A3" s="92" t="s">
        <v>5</v>
      </c>
      <c r="B3" s="92"/>
      <c r="C3" s="67" t="str">
        <f>QUOTIENT(E4,60)&amp;" heures "&amp;MOD(E4,60)&amp;" minutes"</f>
        <v>3 heures 45 minutes</v>
      </c>
      <c r="D3" s="17"/>
      <c r="E3" s="3"/>
      <c r="F3" s="4" t="s">
        <v>6</v>
      </c>
      <c r="G3" s="65" t="s">
        <v>35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225</v>
      </c>
      <c r="E4" s="24">
        <f>SUM(C4:D4)</f>
        <v>225</v>
      </c>
      <c r="F4" s="4"/>
      <c r="G4" s="6"/>
    </row>
    <row r="5" spans="1:15" x14ac:dyDescent="0.25">
      <c r="C5" s="91" t="s">
        <v>14</v>
      </c>
      <c r="D5" s="91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x14ac:dyDescent="0.25">
      <c r="A7" s="61">
        <f>IF(ISBLANK(B7),"",_xlfn.ISOWEEKNUM('Journal de travail'!$B7))</f>
        <v>45</v>
      </c>
      <c r="B7" s="26">
        <v>45968</v>
      </c>
      <c r="C7" s="27"/>
      <c r="D7" s="28">
        <v>20</v>
      </c>
      <c r="E7" s="29" t="s">
        <v>4</v>
      </c>
      <c r="F7" s="23" t="s">
        <v>30</v>
      </c>
      <c r="G7" s="38"/>
    </row>
    <row r="8" spans="1:15" x14ac:dyDescent="0.25">
      <c r="A8" s="62">
        <f>IF(ISBLANK(B8),"",_xlfn.ISOWEEKNUM('Journal de travail'!$B8))</f>
        <v>45</v>
      </c>
      <c r="B8" s="30">
        <v>45968</v>
      </c>
      <c r="C8" s="31"/>
      <c r="D8" s="32">
        <v>5</v>
      </c>
      <c r="E8" s="33" t="s">
        <v>4</v>
      </c>
      <c r="F8" s="23" t="s">
        <v>31</v>
      </c>
      <c r="G8" s="39"/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45</v>
      </c>
      <c r="B9" s="34">
        <v>45968</v>
      </c>
      <c r="C9" s="35"/>
      <c r="D9" s="36">
        <v>5</v>
      </c>
      <c r="E9" s="37" t="s">
        <v>19</v>
      </c>
      <c r="F9" s="23" t="s">
        <v>32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45</v>
      </c>
      <c r="B10" s="30">
        <v>45968</v>
      </c>
      <c r="C10" s="31"/>
      <c r="D10" s="32">
        <v>30</v>
      </c>
      <c r="E10" s="33" t="s">
        <v>4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45</v>
      </c>
      <c r="B11" s="34">
        <v>45968</v>
      </c>
      <c r="C11" s="35"/>
      <c r="D11" s="36">
        <v>30</v>
      </c>
      <c r="E11" s="37" t="s">
        <v>19</v>
      </c>
      <c r="F11" s="23" t="s">
        <v>36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45</v>
      </c>
      <c r="B12" s="30">
        <v>45968</v>
      </c>
      <c r="C12" s="31"/>
      <c r="D12" s="32">
        <v>10</v>
      </c>
      <c r="E12" s="33" t="s">
        <v>4</v>
      </c>
      <c r="F12" s="23" t="s">
        <v>37</v>
      </c>
      <c r="G12" s="85"/>
      <c r="M12" t="s">
        <v>28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46</v>
      </c>
      <c r="B13" s="34">
        <v>45975</v>
      </c>
      <c r="C13" s="35"/>
      <c r="D13" s="36">
        <v>25</v>
      </c>
      <c r="E13" s="37" t="s">
        <v>19</v>
      </c>
      <c r="F13" s="23" t="s">
        <v>38</v>
      </c>
      <c r="G13" s="84"/>
      <c r="N13">
        <v>6</v>
      </c>
      <c r="O13">
        <v>25</v>
      </c>
    </row>
    <row r="14" spans="1:15" ht="31.5" x14ac:dyDescent="0.25">
      <c r="A14" s="62">
        <f>IF(ISBLANK(B14),"",_xlfn.ISOWEEKNUM('Journal de travail'!$B14))</f>
        <v>46</v>
      </c>
      <c r="B14" s="30">
        <v>45975</v>
      </c>
      <c r="C14" s="31"/>
      <c r="D14" s="36">
        <v>20</v>
      </c>
      <c r="E14" s="37" t="s">
        <v>19</v>
      </c>
      <c r="F14" s="23" t="s">
        <v>40</v>
      </c>
      <c r="G14" s="85" t="s">
        <v>41</v>
      </c>
      <c r="N14">
        <v>7</v>
      </c>
      <c r="O14">
        <v>30</v>
      </c>
    </row>
    <row r="15" spans="1:15" x14ac:dyDescent="0.25">
      <c r="A15" s="63">
        <f>IF(ISBLANK(B15),"",_xlfn.ISOWEEKNUM('Journal de travail'!$B15))</f>
        <v>46</v>
      </c>
      <c r="B15" s="34">
        <v>45975</v>
      </c>
      <c r="C15" s="35"/>
      <c r="D15" s="32">
        <v>10</v>
      </c>
      <c r="E15" s="33" t="s">
        <v>19</v>
      </c>
      <c r="F15" s="23" t="s">
        <v>42</v>
      </c>
      <c r="G15" s="84" t="s">
        <v>43</v>
      </c>
      <c r="N15">
        <v>8</v>
      </c>
      <c r="O15">
        <v>35</v>
      </c>
    </row>
    <row r="16" spans="1:15" x14ac:dyDescent="0.25">
      <c r="A16" s="62">
        <f>IF(ISBLANK(B16),"",_xlfn.ISOWEEKNUM('Journal de travail'!$B16))</f>
        <v>46</v>
      </c>
      <c r="B16" s="30">
        <v>45975</v>
      </c>
      <c r="C16" s="31"/>
      <c r="D16" s="86">
        <v>40</v>
      </c>
      <c r="E16" s="87" t="s">
        <v>19</v>
      </c>
      <c r="F16" s="88" t="s">
        <v>39</v>
      </c>
      <c r="G16" s="85" t="s">
        <v>44</v>
      </c>
      <c r="O16">
        <v>40</v>
      </c>
    </row>
    <row r="17" spans="1:15" x14ac:dyDescent="0.25">
      <c r="A17" s="63">
        <f>IF(ISBLANK(B17),"",_xlfn.ISOWEEKNUM('Journal de travail'!$B17))</f>
        <v>46</v>
      </c>
      <c r="B17" s="34">
        <v>45975</v>
      </c>
      <c r="C17" s="35"/>
      <c r="D17" s="36">
        <v>20</v>
      </c>
      <c r="E17" s="37" t="s">
        <v>19</v>
      </c>
      <c r="F17" s="23" t="s">
        <v>45</v>
      </c>
      <c r="G17" s="40"/>
      <c r="O17">
        <v>45</v>
      </c>
    </row>
    <row r="18" spans="1:15" x14ac:dyDescent="0.25">
      <c r="A18" s="62">
        <f>IF(ISBLANK(B18),"",_xlfn.ISOWEEKNUM('Journal de travail'!$B18))</f>
        <v>46</v>
      </c>
      <c r="B18" s="30">
        <v>45975</v>
      </c>
      <c r="C18" s="31"/>
      <c r="D18" s="32">
        <v>10</v>
      </c>
      <c r="E18" s="33" t="s">
        <v>4</v>
      </c>
      <c r="F18" s="23" t="s">
        <v>37</v>
      </c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15 E1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15 D17:D532" xr:uid="{46510F84-8BCC-4BD6-9A19-9F03ACD74D05}">
      <formula1>$O$7:$O$19</formula1>
    </dataValidation>
    <dataValidation type="list" allowBlank="1" showInputMessage="1" showErrorMessage="1" sqref="E7:E15 E17:E532" xr:uid="{EBCA439E-C5F1-BC4C-88EE-2BB045537E3E}">
      <formula1>$M$7:$M$12</formula1>
    </dataValidation>
  </dataValidations>
  <hyperlinks>
    <hyperlink ref="G13" r:id="rId1" display="https://www.youtube.com/watch?v=HGF1fm1vmIk&amp;ab_channel=IndustrialITandAutomation" xr:uid="{336CBD97-FBE6-4DA0-92F1-7E19F61FE3AA}"/>
    <hyperlink ref="G12" r:id="rId2" display="https://github.com/users/Josefnademo/projects/5/views/1" xr:uid="{160CB3A4-60AC-4C67-9742-E843A97D81B7}"/>
    <hyperlink ref="G10" r:id="rId3" display="https://www.coingecko.com/en/api?" xr:uid="{0F91120E-3455-4E0F-8C60-6729CE2C909C}"/>
    <hyperlink ref="G31" r:id="rId4" display="https://gist.github.com/takekazuomi/10955889" xr:uid="{14778DBD-AC08-49BE-B816-D74CEFC0A64E}"/>
    <hyperlink ref="G14" r:id="rId5" xr:uid="{64AB34B8-9A53-4FFA-8DD1-6FAFB9B69698}"/>
    <hyperlink ref="G16" r:id="rId6" xr:uid="{4728AE8E-9C80-4EF2-8BFD-49D552936D18}"/>
  </hyperlinks>
  <pageMargins left="0.7" right="0.7" top="0.75" bottom="0.75" header="0.3" footer="0.3"/>
  <pageSetup paperSize="9" orientation="portrait" r:id="rId7"/>
  <tableParts count="1"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zoomScale="70" zoomScaleNormal="70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150</v>
      </c>
      <c r="C7">
        <f t="shared" si="0"/>
        <v>150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30 min</v>
      </c>
      <c r="G7" s="75">
        <f t="shared" ref="G7:G9" si="2">SUM(A7:B7)/$C$11</f>
        <v>0.66666666666666663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75</v>
      </c>
      <c r="C9">
        <f t="shared" si="0"/>
        <v>75</v>
      </c>
      <c r="E9" s="77" t="str">
        <f>'Journal de travail'!M11</f>
        <v>Documentation</v>
      </c>
      <c r="F9" s="74" t="str">
        <f t="shared" si="1"/>
        <v>1 h 15 min</v>
      </c>
      <c r="G9" s="75">
        <f t="shared" si="2"/>
        <v>0.33333333333333331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225</v>
      </c>
      <c r="C11">
        <f>SUM(A11:B11)</f>
        <v>225</v>
      </c>
      <c r="E11" s="81" t="s">
        <v>18</v>
      </c>
      <c r="F11" s="71" t="str">
        <f t="shared" si="1"/>
        <v>3 h 45 min</v>
      </c>
      <c r="G11" s="82">
        <f>C11/C12</f>
        <v>0.15625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2025-11-14T10:22:03Z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