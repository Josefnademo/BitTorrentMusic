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n25kdv\Documents\GitHub\BitTorrentMusic\doc\"/>
    </mc:Choice>
  </mc:AlternateContent>
  <xr:revisionPtr revIDLastSave="0" documentId="13_ncr:1_{7E50C9EB-56ED-4FAE-A01E-73A1A9E66DDF}" xr6:coauthVersionLast="47" xr6:coauthVersionMax="47" xr10:uidLastSave="{00000000-0000-0000-0000-000000000000}"/>
  <bookViews>
    <workbookView xWindow="-120" yWindow="-120" windowWidth="29040" windowHeight="1584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<sst xmlns="http://schemas.openxmlformats.org/spreadsheetml/2006/main" count="101" uniqueCount="64">
  <si>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</si>
  <si>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</si>
  <si>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</si>
  <si>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</si>
  <si>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</si>
  <si>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</si>
  <si>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</si>
  <si>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</si>
  <si>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</si>
  <si>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</si>
  <si>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</si>
  <si>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</si>
  <si>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</si>
  <si>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</si>
  <si>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</si>
  <si>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</si>
  <si>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</si>
  <si>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</si>
  <si>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</si>
  <si>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</si>
  <si>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</si>
  <si>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</si>
  <si>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</si>
  <si>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</si>
  <si>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</si>
  <si>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</si>
  <si>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</si>
  <si>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</si>
  <si>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Absent</t>
  </si>
  <si>
    <t>Nademo Yosef</t>
  </si>
  <si>
    <t>README.md description du projet</t>
  </si>
  <si>
    <t>gitignore pour le projet</t>
  </si>
  <si>
    <t>project Forms initial</t>
  </si>
  <si>
    <t>Planification initial du projet</t>
  </si>
  <si>
    <t>BitRuisseau</t>
  </si>
  <si>
    <t>07.11.2025 au 09.1.2025</t>
  </si>
  <si>
    <t>maquette Figma pour le projet + logo +pallete des couleurs</t>
  </si>
  <si>
    <t>journal de travail mis à jour</t>
  </si>
  <si>
    <t>construction du winforms en ajoutant chque element nécessaire</t>
  </si>
  <si>
    <t>DataGridView pour afficher Local media files  catalog et Global media files  catalog</t>
  </si>
  <si>
    <t>recherche des dossiers en utilisant button browse et monter le emplacement dans textbox(textBox_Research)</t>
  </si>
  <si>
    <t>https://stackoverflow.com/questions/32450856/how-i-can-make-a-button-for-browse-a-folder</t>
  </si>
  <si>
    <t>maquette Figma pour le projet</t>
  </si>
  <si>
    <t>.fig</t>
  </si>
  <si>
    <t xml:space="preserve">http://youtube.com/watch?v=mfAlPlVlNAM </t>
  </si>
  <si>
    <t>stylisation des datagrids</t>
  </si>
  <si>
    <t>correction stylistique-esthétique de grid dans application, pour avoir une correspendance entre maquette et application réel</t>
  </si>
  <si>
    <t>Implémentation des différentes extensions de fichiers possibles (wav, ogg, mp3), ajout d’un DataMusic pour chaque extension.</t>
  </si>
  <si>
    <t xml:space="preserve"> https://www.codeproject.com/articles/Upload-and-Download-Files-From-DataGridView-Cells#comments-section </t>
  </si>
  <si>
    <t>correction de maquette, ajout de maquette.pdf, palette des couleurs</t>
  </si>
  <si>
    <t>nouveau type de tag est ajouté "featuring" dans la dataGrid</t>
  </si>
  <si>
    <t>download files from dataGrid [wip]</t>
  </si>
  <si>
    <t>sous-total du jour [28.11.2025]: 2h15</t>
  </si>
  <si>
    <t>music data added new songs for testing</t>
  </si>
  <si>
    <t>https://www.youtube.com/watch?v=7UewJo4zY2k</t>
  </si>
  <si>
    <t>MQTT C#  transferring mp3 by chunks (FileTransferService,NetworkProtocol), planing of functionement and understanding of details</t>
  </si>
  <si>
    <t>AskMedia() 
SendMedia()
AskCatalog()
SendCatalog()
SayOnline()
GetOnlineMediatheque()</t>
  </si>
  <si>
    <t>dataGridViewGlobal_CellDoubleClick doubletap to download</t>
  </si>
  <si>
    <t>feat(FileTransferService) + helper( hash from a byte array)</t>
  </si>
  <si>
    <t>feat(NetworkProtocol)[WIP]</t>
  </si>
  <si>
    <t>sous-total du jour [05.12.2025]: 2h15</t>
  </si>
  <si>
    <t xml:space="preserve">delegates(A delegate in C# is a variable that stores a function.)     https://learn.microsoft.com/en-us/dotnet/csharp/language-reference/operators/ </t>
  </si>
  <si>
    <t>MainMenuUI; protocol.LocalCatalogProvider = GetLocalSongs;  
protocol.LocalPathProvider = GetLocalSongPath;   Doubleclick; refresh button;</t>
  </si>
  <si>
    <t>feat(NetworkProtocol)[WIP] NetworkProtocol ALL methods + configuration of broker;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</si>
</sst>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93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1" fillId="13" borderId="2" xfId="0" applyNumberFormat="1" applyFont="1" applyFill="1" applyBorder="1" applyProtection="1">
      <protection locked="0"/>
    </xf>
    <xf numFmtId="0" fontId="16" fillId="3" borderId="0" xfId="1" applyFill="1" applyAlignment="1" applyProtection="1">
      <alignment wrapText="1"/>
      <protection locked="0"/>
    </xf>
    <xf numFmtId="0" fontId="16" fillId="0" borderId="0" xfId="1" applyAlignment="1" applyProtection="1">
      <alignment wrapText="1"/>
      <protection locked="0"/>
    </xf>
    <xf numFmtId="168" fontId="0" fillId="0" borderId="0" xfId="0" applyNumberFormat="1" applyFont="1" applyAlignment="1" applyProtection="1">
      <alignment horizontal="left"/>
      <protection locked="0"/>
    </xf>
    <xf numFmtId="0" fontId="0" fillId="0" borderId="0" xfId="0" applyFont="1" applyProtection="1">
      <protection locked="0"/>
    </xf>
    <xf numFmtId="0" fontId="0" fillId="0" borderId="0" xfId="0" applyFont="1" applyAlignment="1" applyProtection="1">
      <alignment wrapText="1"/>
      <protection locked="0"/>
    </xf>
    <xf numFmtId="0" fontId="0" fillId="0" borderId="0" xfId="0" applyFill="1"/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2">
    <cellStyle name="Lien hypertexte" xfId="1" builtinId="8"/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0</c:v>
                </c:pt>
                <c:pt idx="1">
                  <c:v>515</c:v>
                </c:pt>
                <c:pt idx="2">
                  <c:v>0</c:v>
                </c:pt>
                <c:pt idx="3">
                  <c:v>100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77-BF46-A280-9AE4DAD157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0.15</c:v>
                </c:pt>
                <c:pt idx="1">
                  <c:v>0.5</c:v>
                </c:pt>
                <c:pt idx="2">
                  <c:v>0.1</c:v>
                </c:pt>
                <c:pt idx="3">
                  <c:v>0.25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dLbl>
              <c:idx val="4"/>
              <c:layout>
                <c:manualLayout>
                  <c:x val="-3.18357149179585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A4-1D44-BA94-80D9B5CA27D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0.15</c:v>
                </c:pt>
                <c:pt idx="1">
                  <c:v>0.5</c:v>
                </c:pt>
                <c:pt idx="2">
                  <c:v>0.1</c:v>
                </c:pt>
                <c:pt idx="3">
                  <c:v>0.25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4"/>
              <c:layout>
                <c:manualLayout>
                  <c:x val="3.4031281464024517E-2"/>
                  <c:y val="-3.088793290531091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A4-1D44-BA94-80D9B5CA27D4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5"/>
                <c:pt idx="0">
                  <c:v>0</c:v>
                </c:pt>
                <c:pt idx="1">
                  <c:v>0.83739837398373984</c:v>
                </c:pt>
                <c:pt idx="2">
                  <c:v>0</c:v>
                </c:pt>
                <c:pt idx="3">
                  <c:v>0.16260162601626016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coingecko.com/en/api?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ithub.com/users/Josefnademo/projects/5/views/1" TargetMode="External"/><Relationship Id="rId1" Type="http://schemas.openxmlformats.org/officeDocument/2006/relationships/hyperlink" Target="https://www.youtube.com/watch?v=HGF1fm1vmIk&amp;ab_channel=IndustrialITandAutomation" TargetMode="External"/><Relationship Id="rId6" Type="http://schemas.openxmlformats.org/officeDocument/2006/relationships/hyperlink" Target="http://youtube.com/watch?v=mfAlPlVlNAM" TargetMode="External"/><Relationship Id="rId5" Type="http://schemas.openxmlformats.org/officeDocument/2006/relationships/hyperlink" Target="https://stackoverflow.com/questions/32450856/how-i-can-make-a-button-for-browse-a-folder" TargetMode="External"/><Relationship Id="rId4" Type="http://schemas.openxmlformats.org/officeDocument/2006/relationships/hyperlink" Target="https://gist.github.com/takekazuomi/1095588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="85" zoomScaleNormal="85" workbookViewId="0">
      <pane ySplit="6" topLeftCell="A20" activePane="bottomLeft" state="frozen"/>
      <selection pane="bottomLeft" activeCell="E42" sqref="E42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92" t="s">
        <v>0</v>
      </c>
      <c r="B2" s="92"/>
      <c r="C2" s="90" t="s">
        <v>29</v>
      </c>
      <c r="D2" s="90"/>
      <c r="E2" s="90"/>
      <c r="F2" s="5" t="s">
        <v>1</v>
      </c>
      <c r="G2" s="64" t="s">
        <v>34</v>
      </c>
    </row>
    <row r="3" spans="1:15" ht="23.25" x14ac:dyDescent="0.35">
      <c r="A3" s="92" t="s">
        <v>5</v>
      </c>
      <c r="B3" s="92"/>
      <c r="C3" s="67" t="str">
        <f>QUOTIENT(E4,60)&amp;" heures "&amp;MOD(E4,60)&amp;" minutes"</f>
        <v>10 heures 15 minutes</v>
      </c>
      <c r="D3" s="17"/>
      <c r="E3" s="3"/>
      <c r="F3" s="4" t="s">
        <v>6</v>
      </c>
      <c r="G3" s="65" t="s">
        <v>35</v>
      </c>
    </row>
    <row r="4" spans="1:15" ht="23.25" hidden="1" x14ac:dyDescent="0.35">
      <c r="B4" s="5"/>
      <c r="C4" s="17">
        <f>SUBTOTAL(9,$C$7:$C$531)*60</f>
        <v>60</v>
      </c>
      <c r="D4" s="17">
        <f>SUBTOTAL(9,$D$7:$D$531)</f>
        <v>555</v>
      </c>
      <c r="E4" s="24">
        <f>SUM(C4:D4)</f>
        <v>615</v>
      </c>
      <c r="F4" s="4"/>
      <c r="G4" s="6"/>
    </row>
    <row r="5" spans="1:15" x14ac:dyDescent="0.25">
      <c r="C5" s="91" t="s">
        <v>14</v>
      </c>
      <c r="D5" s="91"/>
    </row>
    <row r="6" spans="1:15" s="15" customFormat="1" ht="20.100000000000001" customHeight="1" x14ac:dyDescent="0.3">
      <c r="A6" s="13" t="s">
        <v>7</v>
      </c>
      <c r="B6" s="21" t="s">
        <v>8</v>
      </c>
      <c r="C6" s="25" t="s">
        <v>20</v>
      </c>
      <c r="D6" s="16" t="s">
        <v>15</v>
      </c>
      <c r="E6" s="14" t="s">
        <v>9</v>
      </c>
      <c r="F6" s="14" t="s">
        <v>10</v>
      </c>
      <c r="G6" s="14" t="s">
        <v>11</v>
      </c>
    </row>
    <row r="7" spans="1:15" x14ac:dyDescent="0.25">
      <c r="A7" s="61">
        <f>IF(ISBLANK(B7),"",_xlfn.ISOWEEKNUM('Journal de travail'!$B7))</f>
        <v>45</v>
      </c>
      <c r="B7" s="26">
        <v>45968</v>
      </c>
      <c r="C7" s="27"/>
      <c r="D7" s="28">
        <v>20</v>
      </c>
      <c r="E7" s="29" t="s">
        <v>4</v>
      </c>
      <c r="F7" s="23" t="s">
        <v>30</v>
      </c>
      <c r="G7" s="38"/>
    </row>
    <row r="8" spans="1:15" x14ac:dyDescent="0.25">
      <c r="A8" s="62">
        <f>IF(ISBLANK(B8),"",_xlfn.ISOWEEKNUM('Journal de travail'!$B8))</f>
        <v>45</v>
      </c>
      <c r="B8" s="30">
        <v>45968</v>
      </c>
      <c r="C8" s="31"/>
      <c r="D8" s="32">
        <v>5</v>
      </c>
      <c r="E8" s="33" t="s">
        <v>4</v>
      </c>
      <c r="F8" s="23" t="s">
        <v>31</v>
      </c>
      <c r="G8" s="39"/>
      <c r="M8" t="s">
        <v>2</v>
      </c>
      <c r="N8">
        <v>1</v>
      </c>
      <c r="O8">
        <v>0</v>
      </c>
    </row>
    <row r="9" spans="1:15" x14ac:dyDescent="0.25">
      <c r="A9" s="63">
        <f>IF(ISBLANK(B9),"",_xlfn.ISOWEEKNUM('Journal de travail'!$B9))</f>
        <v>45</v>
      </c>
      <c r="B9" s="34">
        <v>45968</v>
      </c>
      <c r="C9" s="35"/>
      <c r="D9" s="36">
        <v>5</v>
      </c>
      <c r="E9" s="37" t="s">
        <v>19</v>
      </c>
      <c r="F9" s="23" t="s">
        <v>32</v>
      </c>
      <c r="G9" s="40"/>
      <c r="M9" t="s">
        <v>19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45</v>
      </c>
      <c r="B10" s="30">
        <v>45968</v>
      </c>
      <c r="C10" s="31"/>
      <c r="D10" s="32">
        <v>30</v>
      </c>
      <c r="E10" s="33" t="s">
        <v>4</v>
      </c>
      <c r="F10" s="23" t="s">
        <v>33</v>
      </c>
      <c r="G10" s="85"/>
      <c r="M10" t="s">
        <v>3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45</v>
      </c>
      <c r="B11" s="34">
        <v>45968</v>
      </c>
      <c r="C11" s="35"/>
      <c r="D11" s="36">
        <v>30</v>
      </c>
      <c r="E11" s="37" t="s">
        <v>19</v>
      </c>
      <c r="F11" s="23" t="s">
        <v>36</v>
      </c>
      <c r="G11" s="40"/>
      <c r="M11" t="s">
        <v>4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45</v>
      </c>
      <c r="B12" s="30">
        <v>45968</v>
      </c>
      <c r="C12" s="31"/>
      <c r="D12" s="32">
        <v>10</v>
      </c>
      <c r="E12" s="33" t="s">
        <v>4</v>
      </c>
      <c r="F12" s="23" t="s">
        <v>37</v>
      </c>
      <c r="G12" s="85"/>
      <c r="M12" t="s">
        <v>28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46</v>
      </c>
      <c r="B13" s="34">
        <v>45975</v>
      </c>
      <c r="C13" s="35"/>
      <c r="D13" s="36">
        <v>25</v>
      </c>
      <c r="E13" s="37" t="s">
        <v>19</v>
      </c>
      <c r="F13" s="23" t="s">
        <v>38</v>
      </c>
      <c r="G13" s="84"/>
      <c r="N13">
        <v>6</v>
      </c>
      <c r="O13">
        <v>25</v>
      </c>
    </row>
    <row r="14" spans="1:15" ht="31.5" x14ac:dyDescent="0.25">
      <c r="A14" s="62">
        <f>IF(ISBLANK(B14),"",_xlfn.ISOWEEKNUM('Journal de travail'!$B14))</f>
        <v>46</v>
      </c>
      <c r="B14" s="30">
        <v>45975</v>
      </c>
      <c r="C14" s="31"/>
      <c r="D14" s="36">
        <v>20</v>
      </c>
      <c r="E14" s="37" t="s">
        <v>19</v>
      </c>
      <c r="F14" s="23" t="s">
        <v>40</v>
      </c>
      <c r="G14" s="85" t="s">
        <v>41</v>
      </c>
      <c r="N14">
        <v>7</v>
      </c>
      <c r="O14">
        <v>30</v>
      </c>
    </row>
    <row r="15" spans="1:15" x14ac:dyDescent="0.25">
      <c r="A15" s="63">
        <f>IF(ISBLANK(B15),"",_xlfn.ISOWEEKNUM('Journal de travail'!$B15))</f>
        <v>46</v>
      </c>
      <c r="B15" s="34">
        <v>45975</v>
      </c>
      <c r="C15" s="35"/>
      <c r="D15" s="32">
        <v>10</v>
      </c>
      <c r="E15" s="33" t="s">
        <v>19</v>
      </c>
      <c r="F15" s="23" t="s">
        <v>42</v>
      </c>
      <c r="G15" s="84" t="s">
        <v>43</v>
      </c>
      <c r="N15">
        <v>8</v>
      </c>
      <c r="O15">
        <v>35</v>
      </c>
    </row>
    <row r="16" spans="1:15" x14ac:dyDescent="0.25">
      <c r="A16" s="62">
        <f>IF(ISBLANK(B16),"",_xlfn.ISOWEEKNUM('Journal de travail'!$B16))</f>
        <v>46</v>
      </c>
      <c r="B16" s="30">
        <v>45975</v>
      </c>
      <c r="C16" s="31"/>
      <c r="D16" s="86">
        <v>40</v>
      </c>
      <c r="E16" s="87" t="s">
        <v>19</v>
      </c>
      <c r="F16" s="88" t="s">
        <v>39</v>
      </c>
      <c r="G16" s="85" t="s">
        <v>44</v>
      </c>
      <c r="O16">
        <v>40</v>
      </c>
    </row>
    <row r="17" spans="1:15" x14ac:dyDescent="0.25">
      <c r="A17" s="63">
        <f>IF(ISBLANK(B17),"",_xlfn.ISOWEEKNUM('Journal de travail'!$B17))</f>
        <v>46</v>
      </c>
      <c r="B17" s="34">
        <v>45975</v>
      </c>
      <c r="C17" s="35"/>
      <c r="D17" s="36">
        <v>20</v>
      </c>
      <c r="E17" s="37" t="s">
        <v>19</v>
      </c>
      <c r="F17" s="23" t="s">
        <v>45</v>
      </c>
      <c r="G17" s="40"/>
      <c r="O17">
        <v>45</v>
      </c>
    </row>
    <row r="18" spans="1:15" x14ac:dyDescent="0.25">
      <c r="A18" s="62">
        <f>IF(ISBLANK(B18),"",_xlfn.ISOWEEKNUM('Journal de travail'!$B18))</f>
        <v>46</v>
      </c>
      <c r="B18" s="30">
        <v>45975</v>
      </c>
      <c r="C18" s="31"/>
      <c r="D18" s="32">
        <v>10</v>
      </c>
      <c r="E18" s="33" t="s">
        <v>4</v>
      </c>
      <c r="F18" s="23" t="s">
        <v>37</v>
      </c>
      <c r="G18" s="39"/>
      <c r="O18">
        <v>50</v>
      </c>
    </row>
    <row r="19" spans="1:15" ht="31.5" x14ac:dyDescent="0.25">
      <c r="A19" s="63">
        <f>IF(ISBLANK(B19),"",_xlfn.ISOWEEKNUM('Journal de travail'!$B19))</f>
        <v>47</v>
      </c>
      <c r="B19" s="34">
        <v>45982</v>
      </c>
      <c r="C19" s="35"/>
      <c r="D19" s="36">
        <v>20</v>
      </c>
      <c r="E19" s="37" t="s">
        <v>19</v>
      </c>
      <c r="F19" s="23" t="s">
        <v>46</v>
      </c>
      <c r="G19" s="84"/>
      <c r="O19">
        <v>55</v>
      </c>
    </row>
    <row r="20" spans="1:15" ht="31.5" x14ac:dyDescent="0.25">
      <c r="A20" s="62">
        <f>IF(ISBLANK(B20),"",_xlfn.ISOWEEKNUM('Journal de travail'!$B20))</f>
        <v>47</v>
      </c>
      <c r="B20" s="30">
        <v>45982</v>
      </c>
      <c r="C20" s="31"/>
      <c r="D20" s="32">
        <v>30</v>
      </c>
      <c r="E20" s="33" t="s">
        <v>19</v>
      </c>
      <c r="F20" s="23" t="s">
        <v>47</v>
      </c>
      <c r="G20" s="89"/>
    </row>
    <row r="21" spans="1:15" ht="15.75" customHeight="1" x14ac:dyDescent="0.25">
      <c r="A21" s="63">
        <f>IF(ISBLANK(B21),"",_xlfn.ISOWEEKNUM('Journal de travail'!$B21))</f>
        <v>47</v>
      </c>
      <c r="B21" s="34">
        <v>45982</v>
      </c>
      <c r="C21" s="35"/>
      <c r="D21" s="36">
        <v>10</v>
      </c>
      <c r="E21" s="37" t="s">
        <v>19</v>
      </c>
      <c r="F21" s="23" t="s">
        <v>51</v>
      </c>
      <c r="G21" s="40" t="s">
        <v>48</v>
      </c>
    </row>
    <row r="22" spans="1:15" x14ac:dyDescent="0.25">
      <c r="A22" s="62">
        <f>IF(ISBLANK(B22),"",_xlfn.ISOWEEKNUM('Journal de travail'!$B22))</f>
        <v>47</v>
      </c>
      <c r="B22" s="30">
        <v>45982</v>
      </c>
      <c r="C22" s="31"/>
      <c r="D22" s="32">
        <v>25</v>
      </c>
      <c r="E22" s="33" t="s">
        <v>19</v>
      </c>
      <c r="F22" s="23" t="s">
        <v>49</v>
      </c>
      <c r="G22" s="39"/>
    </row>
    <row r="23" spans="1:15" x14ac:dyDescent="0.25">
      <c r="A23" s="63">
        <f>IF(ISBLANK(B23),"",_xlfn.ISOWEEKNUM('Journal de travail'!$B23))</f>
        <v>47</v>
      </c>
      <c r="B23" s="34">
        <v>45982</v>
      </c>
      <c r="C23" s="35"/>
      <c r="D23" s="36">
        <v>25</v>
      </c>
      <c r="E23" s="37" t="s">
        <v>19</v>
      </c>
      <c r="F23" s="23" t="s">
        <v>50</v>
      </c>
      <c r="G23" s="40"/>
    </row>
    <row r="24" spans="1:15" x14ac:dyDescent="0.25">
      <c r="A24" s="62">
        <f>IF(ISBLANK(B24),"",_xlfn.ISOWEEKNUM('Journal de travail'!$B24))</f>
        <v>47</v>
      </c>
      <c r="B24" s="30">
        <v>45982</v>
      </c>
      <c r="C24" s="31"/>
      <c r="D24" s="32">
        <v>10</v>
      </c>
      <c r="E24" s="33" t="s">
        <v>4</v>
      </c>
      <c r="F24" s="23" t="s">
        <v>37</v>
      </c>
      <c r="G24" s="39"/>
    </row>
    <row r="25" spans="1:15" x14ac:dyDescent="0.25">
      <c r="A25" s="63">
        <f>IF(ISBLANK(B25),"",_xlfn.ISOWEEKNUM('Journal de travail'!$B25))</f>
        <v>48</v>
      </c>
      <c r="B25" s="34">
        <v>45989</v>
      </c>
      <c r="C25" s="35"/>
      <c r="D25" s="36">
        <v>15</v>
      </c>
      <c r="E25" s="37" t="s">
        <v>19</v>
      </c>
      <c r="F25" s="23" t="s">
        <v>53</v>
      </c>
      <c r="G25" s="84"/>
    </row>
    <row r="26" spans="1:15" ht="31.5" x14ac:dyDescent="0.25">
      <c r="A26" s="62">
        <f>IF(ISBLANK(B26),"",_xlfn.ISOWEEKNUM('Journal de travail'!$B26))</f>
        <v>48</v>
      </c>
      <c r="B26" s="30">
        <v>45989</v>
      </c>
      <c r="C26" s="31"/>
      <c r="D26" s="32">
        <v>20</v>
      </c>
      <c r="E26" s="33" t="s">
        <v>19</v>
      </c>
      <c r="F26" s="23" t="s">
        <v>55</v>
      </c>
      <c r="G26" s="39" t="s">
        <v>54</v>
      </c>
    </row>
    <row r="27" spans="1:15" ht="94.5" x14ac:dyDescent="0.25">
      <c r="A27" s="63">
        <f>IF(ISBLANK(B27),"",_xlfn.ISOWEEKNUM('Journal de travail'!$B27))</f>
        <v>48</v>
      </c>
      <c r="B27" s="34">
        <v>45989</v>
      </c>
      <c r="C27" s="35"/>
      <c r="D27" s="36">
        <v>25</v>
      </c>
      <c r="E27" s="37" t="s">
        <v>19</v>
      </c>
      <c r="F27" s="23" t="s">
        <v>59</v>
      </c>
      <c r="G27" s="40" t="s">
        <v>56</v>
      </c>
    </row>
    <row r="28" spans="1:15" x14ac:dyDescent="0.25">
      <c r="A28" s="62">
        <f>IF(ISBLANK(B28),"",_xlfn.ISOWEEKNUM('Journal de travail'!$B28))</f>
        <v>48</v>
      </c>
      <c r="B28" s="30">
        <v>45989</v>
      </c>
      <c r="C28" s="31"/>
      <c r="D28" s="32">
        <v>15</v>
      </c>
      <c r="E28" s="33" t="s">
        <v>19</v>
      </c>
      <c r="F28" s="22" t="s">
        <v>57</v>
      </c>
      <c r="G28" s="39"/>
    </row>
    <row r="29" spans="1:15" x14ac:dyDescent="0.25">
      <c r="A29" s="63">
        <f>IF(ISBLANK(B29),"",_xlfn.ISOWEEKNUM('Journal de travail'!$B29))</f>
        <v>48</v>
      </c>
      <c r="B29" s="34">
        <v>45989</v>
      </c>
      <c r="C29" s="35"/>
      <c r="D29" s="36">
        <v>50</v>
      </c>
      <c r="E29" s="37" t="s">
        <v>19</v>
      </c>
      <c r="F29" s="22" t="s">
        <v>58</v>
      </c>
      <c r="G29" s="40"/>
    </row>
    <row r="30" spans="1:15" x14ac:dyDescent="0.25">
      <c r="A30" s="62">
        <f>IF(ISBLANK(B30),"",_xlfn.ISOWEEKNUM('Journal de travail'!$B30))</f>
        <v>48</v>
      </c>
      <c r="B30" s="30">
        <v>45989</v>
      </c>
      <c r="C30" s="31"/>
      <c r="D30" s="32">
        <v>10</v>
      </c>
      <c r="E30" s="33" t="s">
        <v>4</v>
      </c>
      <c r="F30" s="23" t="s">
        <v>37</v>
      </c>
      <c r="G30" s="39"/>
    </row>
    <row r="31" spans="1:15" x14ac:dyDescent="0.25">
      <c r="A31" s="63">
        <f>IF(ISBLANK(B31),"",_xlfn.ISOWEEKNUM('Journal de travail'!$B31))</f>
        <v>48</v>
      </c>
      <c r="B31" s="34">
        <v>45989</v>
      </c>
      <c r="C31" s="35"/>
      <c r="D31" s="36"/>
      <c r="E31" s="37"/>
      <c r="F31" s="22" t="s">
        <v>52</v>
      </c>
      <c r="G31" s="84"/>
    </row>
    <row r="32" spans="1:15" x14ac:dyDescent="0.25">
      <c r="A32" s="62">
        <f>IF(ISBLANK(B32),"",_xlfn.ISOWEEKNUM('Journal de travail'!$B32))</f>
        <v>49</v>
      </c>
      <c r="B32" s="30">
        <v>45996</v>
      </c>
      <c r="C32" s="31">
        <v>1</v>
      </c>
      <c r="D32" s="32">
        <v>15</v>
      </c>
      <c r="E32" s="33" t="s">
        <v>19</v>
      </c>
      <c r="F32" s="23" t="s">
        <v>63</v>
      </c>
      <c r="G32" s="39"/>
    </row>
    <row r="33" spans="1:7" ht="31.5" x14ac:dyDescent="0.25">
      <c r="A33" s="63">
        <f>IF(ISBLANK(B33),"",_xlfn.ISOWEEKNUM('Journal de travail'!$B33))</f>
        <v>49</v>
      </c>
      <c r="B33" s="34">
        <v>45996</v>
      </c>
      <c r="C33" s="35"/>
      <c r="D33" s="36">
        <v>55</v>
      </c>
      <c r="E33" s="37" t="s">
        <v>19</v>
      </c>
      <c r="F33" s="23" t="s">
        <v>62</v>
      </c>
      <c r="G33" s="40" t="s">
        <v>61</v>
      </c>
    </row>
    <row r="34" spans="1:7" x14ac:dyDescent="0.25">
      <c r="A34" s="62">
        <f>IF(ISBLANK(B34),"",_xlfn.ISOWEEKNUM('Journal de travail'!$B34))</f>
        <v>49</v>
      </c>
      <c r="B34" s="30">
        <v>45996</v>
      </c>
      <c r="C34" s="31"/>
      <c r="D34" s="32">
        <v>5</v>
      </c>
      <c r="E34" s="33" t="s">
        <v>4</v>
      </c>
      <c r="F34" s="22" t="s">
        <v>37</v>
      </c>
      <c r="G34" s="39"/>
    </row>
    <row r="35" spans="1:7" x14ac:dyDescent="0.25">
      <c r="A35" s="63">
        <f>IF(ISBLANK(B35),"",_xlfn.ISOWEEKNUM('Journal de travail'!$B35))</f>
        <v>49</v>
      </c>
      <c r="B35" s="34">
        <v>45996</v>
      </c>
      <c r="C35" s="35"/>
      <c r="D35" s="36"/>
      <c r="E35" s="37"/>
      <c r="F35" s="23" t="s">
        <v>60</v>
      </c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15 E1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15 D17:D532" xr:uid="{46510F84-8BCC-4BD6-9A19-9F03ACD74D05}">
      <formula1>$O$7:$O$19</formula1>
    </dataValidation>
    <dataValidation type="list" allowBlank="1" showInputMessage="1" showErrorMessage="1" sqref="E7:E15 E17:E532" xr:uid="{EBCA439E-C5F1-BC4C-88EE-2BB045537E3E}">
      <formula1>$M$7:$M$12</formula1>
    </dataValidation>
  </dataValidations>
  <hyperlinks>
    <hyperlink ref="G13" r:id="rId1" display="https://www.youtube.com/watch?v=HGF1fm1vmIk&amp;ab_channel=IndustrialITandAutomation" xr:uid="{336CBD97-FBE6-4DA0-92F1-7E19F61FE3AA}"/>
    <hyperlink ref="G12" r:id="rId2" display="https://github.com/users/Josefnademo/projects/5/views/1" xr:uid="{160CB3A4-60AC-4C67-9742-E843A97D81B7}"/>
    <hyperlink ref="G10" r:id="rId3" display="https://www.coingecko.com/en/api?" xr:uid="{0F91120E-3455-4E0F-8C60-6729CE2C909C}"/>
    <hyperlink ref="G31" r:id="rId4" display="https://gist.github.com/takekazuomi/10955889" xr:uid="{14778DBD-AC08-49BE-B816-D74CEFC0A64E}"/>
    <hyperlink ref="G14" r:id="rId5" xr:uid="{64AB34B8-9A53-4FFA-8DD1-6FAFB9B69698}"/>
    <hyperlink ref="G16" r:id="rId6" xr:uid="{4728AE8E-9C80-4EF2-8BFD-49D552936D18}"/>
  </hyperlinks>
  <pageMargins left="0.7" right="0.7" top="0.75" bottom="0.75" header="0.3" footer="0.3"/>
  <pageSetup paperSize="9" orientation="portrait"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1" zoomScale="70" zoomScaleNormal="70" workbookViewId="0">
      <selection activeCell="N7" sqref="N7"/>
    </sheetView>
  </sheetViews>
  <sheetFormatPr baseColWidth="10" defaultColWidth="11.25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24</v>
      </c>
      <c r="F2" s="68">
        <v>24</v>
      </c>
      <c r="G2" s="66" t="s">
        <v>23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25</v>
      </c>
      <c r="L4" s="66" t="s">
        <v>21</v>
      </c>
      <c r="M4" s="41"/>
      <c r="N4" s="19"/>
    </row>
    <row r="5" spans="1:14" x14ac:dyDescent="0.3">
      <c r="A5" t="s">
        <v>16</v>
      </c>
      <c r="B5" t="s">
        <v>17</v>
      </c>
      <c r="C5" s="41" t="s">
        <v>26</v>
      </c>
      <c r="D5" s="42"/>
      <c r="E5" s="45" t="s">
        <v>12</v>
      </c>
      <c r="F5" s="46" t="s">
        <v>13</v>
      </c>
      <c r="G5" s="47" t="s">
        <v>22</v>
      </c>
      <c r="L5" s="48" t="s">
        <v>12</v>
      </c>
      <c r="M5" s="49" t="s">
        <v>13</v>
      </c>
      <c r="N5" s="50" t="s">
        <v>22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0</v>
      </c>
      <c r="C6">
        <f t="shared" ref="C6:C10" si="0">SUM(A6:B6)</f>
        <v>0</v>
      </c>
      <c r="E6" s="70" t="str">
        <f>'Journal de travail'!M8</f>
        <v>Analyse</v>
      </c>
      <c r="F6" s="71" t="str">
        <f>QUOTIENT(SUM(A6:B6),60)&amp;" h "&amp;TEXT(MOD(SUM(A6:B6),60), "00")&amp;" min"</f>
        <v>0 h 00 min</v>
      </c>
      <c r="G6" s="72">
        <f>SUM(A6:B6)/$C$11</f>
        <v>0</v>
      </c>
      <c r="L6" s="51" t="str">
        <f>'Journal de travail'!M8</f>
        <v>Analyse</v>
      </c>
      <c r="M6" s="52" t="str">
        <f>INT($F$2*N6)&amp;" h "&amp;TEXT(ROUND(MOD($F$2*N6,1)*60,0),"00")&amp;" m"</f>
        <v>3 h 36 m</v>
      </c>
      <c r="N6" s="58">
        <v>0.15</v>
      </c>
    </row>
    <row r="7" spans="1:14" x14ac:dyDescent="0.3">
      <c r="A7">
        <f>SUMIF('Journal de travail'!$E$7:$E$532,Plannification!E7,'Journal de travail'!$C$7:$C$532)*60</f>
        <v>60</v>
      </c>
      <c r="B7">
        <f>SUMIF('Journal de travail'!$E$7:$E$532,Plannification!E7,'Journal de travail'!$D$7:$D$532)</f>
        <v>455</v>
      </c>
      <c r="C7">
        <f t="shared" si="0"/>
        <v>515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8 h 35 min</v>
      </c>
      <c r="G7" s="75">
        <f t="shared" ref="G7:G9" si="2">SUM(A7:B7)/$C$11</f>
        <v>0.83739837398373984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12 h 00 m</v>
      </c>
      <c r="N7" s="59">
        <v>0.5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6" t="str">
        <f>'Journal de travail'!M10</f>
        <v>Test</v>
      </c>
      <c r="F8" s="71" t="str">
        <f t="shared" si="1"/>
        <v>0 h 00 min</v>
      </c>
      <c r="G8" s="72">
        <f t="shared" si="2"/>
        <v>0</v>
      </c>
      <c r="L8" s="54" t="str">
        <f>'Journal de travail'!M10</f>
        <v>Test</v>
      </c>
      <c r="M8" s="52" t="str">
        <f t="shared" si="3"/>
        <v>2 h 24 m</v>
      </c>
      <c r="N8" s="58">
        <v>0.1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100</v>
      </c>
      <c r="C9">
        <f t="shared" si="0"/>
        <v>100</v>
      </c>
      <c r="E9" s="77" t="str">
        <f>'Journal de travail'!M11</f>
        <v>Documentation</v>
      </c>
      <c r="F9" s="74" t="str">
        <f t="shared" si="1"/>
        <v>1 h 40 min</v>
      </c>
      <c r="G9" s="75">
        <f t="shared" si="2"/>
        <v>0.16260162601626016</v>
      </c>
      <c r="L9" s="55" t="str">
        <f>'Journal de travail'!M11</f>
        <v>Documentation</v>
      </c>
      <c r="M9" s="52" t="str">
        <f t="shared" si="3"/>
        <v>6 h 00 m</v>
      </c>
      <c r="N9" s="59">
        <v>0.25</v>
      </c>
    </row>
    <row r="10" spans="1:14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28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28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60</v>
      </c>
      <c r="B11">
        <f>SUM(B6:B10)</f>
        <v>555</v>
      </c>
      <c r="C11">
        <f>SUM(A11:B11)</f>
        <v>615</v>
      </c>
      <c r="E11" s="81" t="s">
        <v>18</v>
      </c>
      <c r="F11" s="71" t="str">
        <f t="shared" si="1"/>
        <v>10 h 15 min</v>
      </c>
      <c r="G11" s="82">
        <f>C11/C12</f>
        <v>0.42708333333333331</v>
      </c>
      <c r="L11" s="56" t="s">
        <v>18</v>
      </c>
      <c r="M11" s="57"/>
      <c r="N11" s="60">
        <f>SUM(N6:N10)</f>
        <v>1</v>
      </c>
    </row>
    <row r="12" spans="1:14" x14ac:dyDescent="0.3">
      <c r="C12">
        <f>F2*60</f>
        <v>1440</v>
      </c>
    </row>
    <row r="13" spans="1:14" x14ac:dyDescent="0.3">
      <c r="F13" s="43"/>
    </row>
  </sheetData>
  <sheetProtection algorithmName="SHA-512" hashValue="pSYnPYn6lXcKz0Qj+I1jIXn9gbknLTkaLnwfEECSlP/A54MtZCqgxo1Qhps7lLnK7XLzNEorFQDF8LNxtj+/HA==" saltValue="Bc5SHBHm2oBmqMc3ptkeRg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="85" zoomScaleNormal="85" workbookViewId="0">
      <selection activeCell="R14" sqref="R14"/>
    </sheetView>
  </sheetViews>
  <sheetFormatPr baseColWidth="10" defaultColWidth="11.25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2" ma:contentTypeDescription="Crée un document." ma:contentTypeScope="" ma:versionID="dfbaf9a740889adeb1cda0be194d08b7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4f25723b2930dbb90e2332f0c8c46e31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12abd92-3c6d-4240-9d75-967015e504c2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F8341A-4C75-4689-8311-30F611A1EC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Yosef Nademo</cp:lastModifiedBy>
  <cp:revision/>
  <dcterms:created xsi:type="dcterms:W3CDTF">2023-11-21T20:00:34Z</dcterms:created>
  <dcterms:modified xsi:type="dcterms:W3CDTF">2025-12-05T09:53:05Z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