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BitTorrentMusic\doc\"/>
    </mc:Choice>
  </mc:AlternateContent>
  <xr:revisionPtr revIDLastSave="0" documentId="13_ncr:1_{127B5A98-4097-4CBF-8F37-277C10BEF8E9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<sst xmlns="http://schemas.openxmlformats.org/spreadsheetml/2006/main" count="140" uniqueCount="84">
  <si>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</si>
  <si>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</si>
  <si>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</si>
  <si>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</si>
  <si>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</si>
  <si>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</si>
  <si>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</si>
  <si>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</si>
  <si>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</si>
  <si>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</si>
  <si>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</si>
  <si>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</si>
  <si>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</si>
  <si>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</si>
  <si>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</si>
  <si>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</si>
  <si>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</si>
  <si>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</si>
  <si>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</si>
  <si>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</si>
  <si>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</si>
  <si>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</si>
  <si>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</si>
  <si>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</si>
  <si>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</si>
  <si>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</si>
  <si>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</si>
  <si>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</si>
  <si>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</si>
  <si>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</si>
  <si>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README.md description du projet</t>
  </si>
  <si>
    <t>gitignore pour le projet</t>
  </si>
  <si>
    <t>project Forms initial</t>
  </si>
  <si>
    <t>Planification initial du projet</t>
  </si>
  <si>
    <t>BitRuisseau</t>
  </si>
  <si>
    <t>07.11.2025 au 09.1.2025</t>
  </si>
  <si>
    <t>maquette Figma pour le projet + logo +pallete des couleurs</t>
  </si>
  <si>
    <t>journal de travail mis à jour</t>
  </si>
  <si>
    <t>construction du winforms en ajoutant chque element nécessaire</t>
  </si>
  <si>
    <t>DataGridView pour afficher Local media files  catalog et Global media files  catalog</t>
  </si>
  <si>
    <t>recherche des dossiers en utilisant button browse et monter le emplacement dans textbox(textBox_Research)</t>
  </si>
  <si>
    <t>https://stackoverflow.com/questions/32450856/how-i-can-make-a-button-for-browse-a-folder</t>
  </si>
  <si>
    <t>maquette Figma pour le projet</t>
  </si>
  <si>
    <t>.fig</t>
  </si>
  <si>
    <t xml:space="preserve">http://youtube.com/watch?v=mfAlPlVlNAM </t>
  </si>
  <si>
    <t>stylisation des datagrids</t>
  </si>
  <si>
    <t>correction stylistique-esthétique de grid dans application, pour avoir une correspendance entre maquette et application réel</t>
  </si>
  <si>
    <t>Implémentation des différentes extensions de fichiers possibles (wav, ogg, mp3), ajout d’un DataMusic pour chaque extension.</t>
  </si>
  <si>
    <t xml:space="preserve"> https://www.codeproject.com/articles/Upload-and-Download-Files-From-DataGridView-Cells#comments-section </t>
  </si>
  <si>
    <t>correction de maquette, ajout de maquette.pdf, palette des couleurs</t>
  </si>
  <si>
    <t>nouveau type de tag est ajouté "featuring" dans la dataGrid</t>
  </si>
  <si>
    <t>download files from dataGrid [wip]</t>
  </si>
  <si>
    <t>sous-total du jour [28.11.2025]: 2h15</t>
  </si>
  <si>
    <t>music data added new songs for testing</t>
  </si>
  <si>
    <t>https://www.youtube.com/watch?v=7UewJo4zY2k</t>
  </si>
  <si>
    <t>MQTT C#  transferring mp3 by chunks (FileTransferService,NetworkProtocol), planing of functionement and understanding of details</t>
  </si>
  <si>
    <t>AskMedia() 
SendMedia()
AskCatalog()
SendCatalog()
SayOnline()
GetOnlineMediatheque()</t>
  </si>
  <si>
    <t>dataGridViewGlobal_CellDoubleClick doubletap to download</t>
  </si>
  <si>
    <t>feat(FileTransferService) + helper( hash from a byte array)</t>
  </si>
  <si>
    <t>feat(NetworkProtocol)[WIP]</t>
  </si>
  <si>
    <t>sous-total du jour [05.12.2025]: 2h15</t>
  </si>
  <si>
    <t xml:space="preserve">delegates(A delegate in C# is a variable that stores a function.)     https://learn.microsoft.com/en-us/dotnet/csharp/language-reference/operators/ </t>
  </si>
  <si>
    <t>MainMenuUI; protocol.LocalCatalogProvider = GetLocalSongs;  
protocol.LocalPathProvider = GetLocalSongPath;   Doubleclick; refresh button;</t>
  </si>
  <si>
    <t>feat(NetworkProtocol)[WIP] NetworkProtocol ALL methods + configuration of broker;</t>
  </si>
  <si>
    <t>fix(NetworkProtocol.cs) bugs with version of mqttnet, and implementation of features functions for messages transfer + comments</t>
  </si>
  <si>
    <t>connexion et partage des donnees via mqtt</t>
  </si>
  <si>
    <t>correction des bugs(connexion et partage des donnees via mqtt)</t>
  </si>
  <si>
    <t>Documentation Technique - BitTorrentMusic.md</t>
  </si>
  <si>
    <t>addapted for class protocol and requests, to not be DEAF</t>
  </si>
  <si>
    <t>récompensé chez moi (17.12.2025) 1h35min</t>
  </si>
  <si>
    <t>chez moi</t>
  </si>
  <si>
    <t xml:space="preserve">OnMessage, switch, names of  actions in switch;   https://www.emqx.com/en/blog/connecting-to-serverless-mqtt-broker-with-mqttnet-in-csharp </t>
  </si>
  <si>
    <t>https://www.emqx.com/en/blog/connecting-to-serverless-mqtt-broker-with-mqttnet-in-csharp</t>
  </si>
  <si>
    <t>sous-total du jour [05.19.2025]: 2h15</t>
  </si>
  <si>
    <t>test de tout le parcours d'application</t>
  </si>
  <si>
    <t>amelioration de maquette pour corespendence, mis à jour</t>
  </si>
  <si>
    <t>fix(Timeout update)</t>
  </si>
  <si>
    <t>datagrid double-click fix,blinking and select of datagrid lines</t>
  </si>
  <si>
    <t>download path changement</t>
  </si>
  <si>
    <t>fix code to work together</t>
  </si>
  <si>
    <t>création d'une demo vidéo pour accelerer la vérification d'application</t>
  </si>
  <si>
    <t>https://github.com/Josefnademo/BitTorrentMusic/blob/main/doc/BitTorrentMusic_Maquette.pdf</t>
  </si>
  <si>
    <t>rendu final,création d'une release complète</t>
  </si>
  <si>
    <t>15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</si>
</sst>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8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00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rgb="FF000000"/>
      </patternFill>
    </fill>
  </fills>
  <borders count="5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rgb="FF9D9FAC"/>
      </top>
      <bottom style="thin">
        <color rgb="FF9D9FAC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96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0" borderId="0" xfId="0" applyFont="1" applyAlignment="1" applyProtection="1">
      <alignment wrapText="1"/>
      <protection locked="0"/>
    </xf>
    <xf numFmtId="0" fontId="0" fillId="0" borderId="0" xfId="0" applyFill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  <xf numFmtId="168" fontId="17" fillId="0" borderId="4" xfId="0" applyNumberFormat="1" applyFont="1" applyFill="1" applyBorder="1" applyAlignment="1" applyProtection="1">
      <alignment horizontal="left"/>
      <protection locked="0"/>
    </xf>
    <xf numFmtId="0" fontId="17" fillId="14" borderId="4" xfId="0" applyFont="1" applyFill="1" applyBorder="1" applyProtection="1">
      <protection locked="0"/>
    </xf>
    <xf numFmtId="0" fontId="17" fillId="0" borderId="4" xfId="0" applyFont="1" applyBorder="1" applyAlignment="1" applyProtection="1">
      <alignment vertical="center"/>
      <protection locked="0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5</c:v>
                </c:pt>
                <c:pt idx="1">
                  <c:v>755</c:v>
                </c:pt>
                <c:pt idx="2">
                  <c:v>35</c:v>
                </c:pt>
                <c:pt idx="3">
                  <c:v>170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5.1813471502590676E-3</c:v>
                </c:pt>
                <c:pt idx="1">
                  <c:v>0.78238341968911918</c:v>
                </c:pt>
                <c:pt idx="2">
                  <c:v>3.6269430051813469E-2</c:v>
                </c:pt>
                <c:pt idx="3">
                  <c:v>0.17616580310880828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coingecko.com/en/api?" TargetMode="External"/><Relationship Id="rId7" Type="http://schemas.openxmlformats.org/officeDocument/2006/relationships/hyperlink" Target="https://www.emqx.com/en/blog/connecting-to-serverless-mqtt-broker-with-mqttnet-in-csharp" TargetMode="Externa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hyperlink" Target="http://youtube.com/watch?v=mfAlPlVlNAM" TargetMode="External"/><Relationship Id="rId5" Type="http://schemas.openxmlformats.org/officeDocument/2006/relationships/hyperlink" Target="https://stackoverflow.com/questions/32450856/how-i-can-make-a-button-for-browse-a-folder" TargetMode="External"/><Relationship Id="rId4" Type="http://schemas.openxmlformats.org/officeDocument/2006/relationships/hyperlink" Target="https://gist.github.com/takekazuomi/10955889" TargetMode="Externa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70" zoomScaleNormal="70" workbookViewId="0">
      <pane ySplit="6" topLeftCell="A21" activePane="bottomLeft" state="frozen"/>
      <selection pane="bottomLeft" activeCell="F50" sqref="F50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92" t="s">
        <v>0</v>
      </c>
      <c r="B2" s="92"/>
      <c r="C2" s="90" t="s">
        <v>29</v>
      </c>
      <c r="D2" s="90"/>
      <c r="E2" s="90"/>
      <c r="F2" s="5" t="s">
        <v>1</v>
      </c>
      <c r="G2" s="64" t="s">
        <v>34</v>
      </c>
    </row>
    <row r="3" spans="1:15" ht="23.25" x14ac:dyDescent="0.35">
      <c r="A3" s="92" t="s">
        <v>5</v>
      </c>
      <c r="B3" s="92"/>
      <c r="C3" s="67" t="str">
        <f>QUOTIENT(E4,60)&amp;" heures "&amp;MOD(E4,60)&amp;" minutes"</f>
        <v>16 heures 5 minutes</v>
      </c>
      <c r="D3" s="17"/>
      <c r="E3" s="3"/>
      <c r="F3" s="4" t="s">
        <v>6</v>
      </c>
      <c r="G3" s="65" t="s">
        <v>35</v>
      </c>
    </row>
    <row r="4" spans="1:15" ht="23.25" hidden="1" x14ac:dyDescent="0.35">
      <c r="B4" s="5"/>
      <c r="C4" s="17">
        <f>SUBTOTAL(9,$C$7:$C$531)*60</f>
        <v>120</v>
      </c>
      <c r="D4" s="17">
        <f>SUBTOTAL(9,$D$7:$D$531)</f>
        <v>845</v>
      </c>
      <c r="E4" s="24">
        <f>SUM(C4:D4)</f>
        <v>965</v>
      </c>
      <c r="F4" s="4"/>
      <c r="G4" s="6"/>
    </row>
    <row r="5" spans="1:15" x14ac:dyDescent="0.25">
      <c r="C5" s="91" t="s">
        <v>14</v>
      </c>
      <c r="D5" s="91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x14ac:dyDescent="0.25">
      <c r="A7" s="61">
        <f>IF(ISBLANK(B7),"",_xlfn.ISOWEEKNUM('Journal de travail'!$B7))</f>
        <v>45</v>
      </c>
      <c r="B7" s="26">
        <v>45968</v>
      </c>
      <c r="C7" s="27"/>
      <c r="D7" s="28">
        <v>20</v>
      </c>
      <c r="E7" s="29" t="s">
        <v>4</v>
      </c>
      <c r="F7" s="23" t="s">
        <v>30</v>
      </c>
      <c r="G7" s="38"/>
    </row>
    <row r="8" spans="1:15" x14ac:dyDescent="0.25">
      <c r="A8" s="62">
        <f>IF(ISBLANK(B8),"",_xlfn.ISOWEEKNUM('Journal de travail'!$B8))</f>
        <v>45</v>
      </c>
      <c r="B8" s="30">
        <v>45968</v>
      </c>
      <c r="C8" s="31"/>
      <c r="D8" s="32">
        <v>5</v>
      </c>
      <c r="E8" s="33" t="s">
        <v>4</v>
      </c>
      <c r="F8" s="23" t="s">
        <v>31</v>
      </c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45</v>
      </c>
      <c r="B9" s="34">
        <v>45968</v>
      </c>
      <c r="C9" s="35"/>
      <c r="D9" s="36">
        <v>5</v>
      </c>
      <c r="E9" s="37" t="s">
        <v>19</v>
      </c>
      <c r="F9" s="23" t="s">
        <v>32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45</v>
      </c>
      <c r="B10" s="30">
        <v>45968</v>
      </c>
      <c r="C10" s="31"/>
      <c r="D10" s="32">
        <v>30</v>
      </c>
      <c r="E10" s="33" t="s">
        <v>4</v>
      </c>
      <c r="F10" s="23" t="s">
        <v>33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45</v>
      </c>
      <c r="B11" s="34">
        <v>45968</v>
      </c>
      <c r="C11" s="35"/>
      <c r="D11" s="36">
        <v>30</v>
      </c>
      <c r="E11" s="37" t="s">
        <v>19</v>
      </c>
      <c r="F11" s="23" t="s">
        <v>36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45</v>
      </c>
      <c r="B12" s="30">
        <v>45968</v>
      </c>
      <c r="C12" s="31"/>
      <c r="D12" s="32">
        <v>10</v>
      </c>
      <c r="E12" s="33" t="s">
        <v>4</v>
      </c>
      <c r="F12" s="23" t="s">
        <v>37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46</v>
      </c>
      <c r="B13" s="34">
        <v>45975</v>
      </c>
      <c r="C13" s="35"/>
      <c r="D13" s="36">
        <v>25</v>
      </c>
      <c r="E13" s="37" t="s">
        <v>19</v>
      </c>
      <c r="F13" s="23" t="s">
        <v>38</v>
      </c>
      <c r="G13" s="84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46</v>
      </c>
      <c r="B14" s="30">
        <v>45975</v>
      </c>
      <c r="C14" s="31"/>
      <c r="D14" s="36">
        <v>20</v>
      </c>
      <c r="E14" s="37" t="s">
        <v>19</v>
      </c>
      <c r="F14" s="23" t="s">
        <v>40</v>
      </c>
      <c r="G14" s="85" t="s">
        <v>41</v>
      </c>
      <c r="N14">
        <v>7</v>
      </c>
      <c r="O14">
        <v>30</v>
      </c>
    </row>
    <row r="15" spans="1:15" x14ac:dyDescent="0.25">
      <c r="A15" s="63">
        <f>IF(ISBLANK(B15),"",_xlfn.ISOWEEKNUM('Journal de travail'!$B15))</f>
        <v>46</v>
      </c>
      <c r="B15" s="34">
        <v>45975</v>
      </c>
      <c r="C15" s="35"/>
      <c r="D15" s="32">
        <v>10</v>
      </c>
      <c r="E15" s="33" t="s">
        <v>19</v>
      </c>
      <c r="F15" s="23" t="s">
        <v>42</v>
      </c>
      <c r="G15" s="84" t="s">
        <v>43</v>
      </c>
      <c r="N15">
        <v>8</v>
      </c>
      <c r="O15">
        <v>35</v>
      </c>
    </row>
    <row r="16" spans="1:15" x14ac:dyDescent="0.25">
      <c r="A16" s="62">
        <f>IF(ISBLANK(B16),"",_xlfn.ISOWEEKNUM('Journal de travail'!$B16))</f>
        <v>46</v>
      </c>
      <c r="B16" s="30">
        <v>45975</v>
      </c>
      <c r="C16" s="31"/>
      <c r="D16" s="86">
        <v>40</v>
      </c>
      <c r="E16" s="87" t="s">
        <v>19</v>
      </c>
      <c r="F16" s="88" t="s">
        <v>39</v>
      </c>
      <c r="G16" s="85" t="s">
        <v>44</v>
      </c>
      <c r="O16">
        <v>40</v>
      </c>
    </row>
    <row r="17" spans="1:15" x14ac:dyDescent="0.25">
      <c r="A17" s="63">
        <f>IF(ISBLANK(B17),"",_xlfn.ISOWEEKNUM('Journal de travail'!$B17))</f>
        <v>46</v>
      </c>
      <c r="B17" s="34">
        <v>45975</v>
      </c>
      <c r="C17" s="35"/>
      <c r="D17" s="36">
        <v>20</v>
      </c>
      <c r="E17" s="37" t="s">
        <v>19</v>
      </c>
      <c r="F17" s="23" t="s">
        <v>45</v>
      </c>
      <c r="G17" s="40"/>
      <c r="O17">
        <v>45</v>
      </c>
    </row>
    <row r="18" spans="1:15" x14ac:dyDescent="0.25">
      <c r="A18" s="62">
        <f>IF(ISBLANK(B18),"",_xlfn.ISOWEEKNUM('Journal de travail'!$B18))</f>
        <v>46</v>
      </c>
      <c r="B18" s="30">
        <v>45975</v>
      </c>
      <c r="C18" s="31"/>
      <c r="D18" s="32">
        <v>10</v>
      </c>
      <c r="E18" s="33" t="s">
        <v>4</v>
      </c>
      <c r="F18" s="23" t="s">
        <v>37</v>
      </c>
      <c r="G18" s="39"/>
      <c r="O18">
        <v>50</v>
      </c>
    </row>
    <row r="19" spans="1:15" ht="31.5" x14ac:dyDescent="0.25">
      <c r="A19" s="63">
        <f>IF(ISBLANK(B19),"",_xlfn.ISOWEEKNUM('Journal de travail'!$B19))</f>
        <v>47</v>
      </c>
      <c r="B19" s="34">
        <v>45982</v>
      </c>
      <c r="C19" s="35"/>
      <c r="D19" s="36">
        <v>20</v>
      </c>
      <c r="E19" s="37" t="s">
        <v>19</v>
      </c>
      <c r="F19" s="23" t="s">
        <v>46</v>
      </c>
      <c r="G19" s="84"/>
      <c r="O19">
        <v>55</v>
      </c>
    </row>
    <row r="20" spans="1:15" ht="31.5" x14ac:dyDescent="0.25">
      <c r="A20" s="62">
        <f>IF(ISBLANK(B20),"",_xlfn.ISOWEEKNUM('Journal de travail'!$B20))</f>
        <v>47</v>
      </c>
      <c r="B20" s="30">
        <v>45982</v>
      </c>
      <c r="C20" s="31"/>
      <c r="D20" s="32">
        <v>30</v>
      </c>
      <c r="E20" s="33" t="s">
        <v>19</v>
      </c>
      <c r="F20" s="23" t="s">
        <v>47</v>
      </c>
      <c r="G20" s="89"/>
    </row>
    <row r="21" spans="1:15" ht="15.75" customHeight="1" x14ac:dyDescent="0.25">
      <c r="A21" s="63">
        <f>IF(ISBLANK(B21),"",_xlfn.ISOWEEKNUM('Journal de travail'!$B21))</f>
        <v>47</v>
      </c>
      <c r="B21" s="34">
        <v>45982</v>
      </c>
      <c r="C21" s="35"/>
      <c r="D21" s="36">
        <v>10</v>
      </c>
      <c r="E21" s="37" t="s">
        <v>19</v>
      </c>
      <c r="F21" s="23" t="s">
        <v>51</v>
      </c>
      <c r="G21" s="40" t="s">
        <v>48</v>
      </c>
    </row>
    <row r="22" spans="1:15" x14ac:dyDescent="0.25">
      <c r="A22" s="62">
        <f>IF(ISBLANK(B22),"",_xlfn.ISOWEEKNUM('Journal de travail'!$B22))</f>
        <v>47</v>
      </c>
      <c r="B22" s="30">
        <v>45982</v>
      </c>
      <c r="C22" s="31"/>
      <c r="D22" s="32">
        <v>25</v>
      </c>
      <c r="E22" s="33" t="s">
        <v>19</v>
      </c>
      <c r="F22" s="23" t="s">
        <v>49</v>
      </c>
      <c r="G22" s="39"/>
    </row>
    <row r="23" spans="1:15" x14ac:dyDescent="0.25">
      <c r="A23" s="63">
        <f>IF(ISBLANK(B23),"",_xlfn.ISOWEEKNUM('Journal de travail'!$B23))</f>
        <v>47</v>
      </c>
      <c r="B23" s="34">
        <v>45982</v>
      </c>
      <c r="C23" s="35"/>
      <c r="D23" s="36">
        <v>25</v>
      </c>
      <c r="E23" s="37" t="s">
        <v>19</v>
      </c>
      <c r="F23" s="23" t="s">
        <v>50</v>
      </c>
      <c r="G23" s="40"/>
    </row>
    <row r="24" spans="1:15" x14ac:dyDescent="0.25">
      <c r="A24" s="62">
        <f>IF(ISBLANK(B24),"",_xlfn.ISOWEEKNUM('Journal de travail'!$B24))</f>
        <v>47</v>
      </c>
      <c r="B24" s="30">
        <v>45982</v>
      </c>
      <c r="C24" s="31"/>
      <c r="D24" s="32">
        <v>10</v>
      </c>
      <c r="E24" s="33" t="s">
        <v>4</v>
      </c>
      <c r="F24" s="23" t="s">
        <v>37</v>
      </c>
      <c r="G24" s="39"/>
    </row>
    <row r="25" spans="1:15" x14ac:dyDescent="0.25">
      <c r="A25" s="63">
        <f>IF(ISBLANK(B25),"",_xlfn.ISOWEEKNUM('Journal de travail'!$B25))</f>
        <v>48</v>
      </c>
      <c r="B25" s="34">
        <v>45989</v>
      </c>
      <c r="C25" s="35"/>
      <c r="D25" s="36">
        <v>15</v>
      </c>
      <c r="E25" s="37" t="s">
        <v>19</v>
      </c>
      <c r="F25" s="23" t="s">
        <v>53</v>
      </c>
      <c r="G25" s="84"/>
    </row>
    <row r="26" spans="1:15" ht="31.5" x14ac:dyDescent="0.25">
      <c r="A26" s="62">
        <f>IF(ISBLANK(B26),"",_xlfn.ISOWEEKNUM('Journal de travail'!$B26))</f>
        <v>48</v>
      </c>
      <c r="B26" s="30">
        <v>45989</v>
      </c>
      <c r="C26" s="31"/>
      <c r="D26" s="32">
        <v>20</v>
      </c>
      <c r="E26" s="33" t="s">
        <v>19</v>
      </c>
      <c r="F26" s="23" t="s">
        <v>55</v>
      </c>
      <c r="G26" s="39" t="s">
        <v>54</v>
      </c>
    </row>
    <row r="27" spans="1:15" ht="94.5" x14ac:dyDescent="0.25">
      <c r="A27" s="63">
        <f>IF(ISBLANK(B27),"",_xlfn.ISOWEEKNUM('Journal de travail'!$B27))</f>
        <v>48</v>
      </c>
      <c r="B27" s="34">
        <v>45989</v>
      </c>
      <c r="C27" s="35"/>
      <c r="D27" s="36">
        <v>25</v>
      </c>
      <c r="E27" s="37" t="s">
        <v>19</v>
      </c>
      <c r="F27" s="23" t="s">
        <v>59</v>
      </c>
      <c r="G27" s="40" t="s">
        <v>56</v>
      </c>
    </row>
    <row r="28" spans="1:15" x14ac:dyDescent="0.25">
      <c r="A28" s="62">
        <f>IF(ISBLANK(B28),"",_xlfn.ISOWEEKNUM('Journal de travail'!$B28))</f>
        <v>48</v>
      </c>
      <c r="B28" s="30">
        <v>45989</v>
      </c>
      <c r="C28" s="31"/>
      <c r="D28" s="32">
        <v>15</v>
      </c>
      <c r="E28" s="33" t="s">
        <v>19</v>
      </c>
      <c r="F28" s="22" t="s">
        <v>57</v>
      </c>
      <c r="G28" s="39"/>
    </row>
    <row r="29" spans="1:15" x14ac:dyDescent="0.25">
      <c r="A29" s="63">
        <f>IF(ISBLANK(B29),"",_xlfn.ISOWEEKNUM('Journal de travail'!$B29))</f>
        <v>48</v>
      </c>
      <c r="B29" s="34">
        <v>45989</v>
      </c>
      <c r="C29" s="35"/>
      <c r="D29" s="36">
        <v>50</v>
      </c>
      <c r="E29" s="37" t="s">
        <v>19</v>
      </c>
      <c r="F29" s="22" t="s">
        <v>58</v>
      </c>
      <c r="G29" s="40"/>
    </row>
    <row r="30" spans="1:15" x14ac:dyDescent="0.25">
      <c r="A30" s="62">
        <f>IF(ISBLANK(B30),"",_xlfn.ISOWEEKNUM('Journal de travail'!$B30))</f>
        <v>48</v>
      </c>
      <c r="B30" s="30">
        <v>45989</v>
      </c>
      <c r="C30" s="31"/>
      <c r="D30" s="32">
        <v>10</v>
      </c>
      <c r="E30" s="33" t="s">
        <v>4</v>
      </c>
      <c r="F30" s="23" t="s">
        <v>37</v>
      </c>
      <c r="G30" s="39"/>
    </row>
    <row r="31" spans="1:15" x14ac:dyDescent="0.25">
      <c r="A31" s="63">
        <f>IF(ISBLANK(B31),"",_xlfn.ISOWEEKNUM('Journal de travail'!$B31))</f>
        <v>48</v>
      </c>
      <c r="B31" s="34">
        <v>45989</v>
      </c>
      <c r="C31" s="35"/>
      <c r="D31" s="36"/>
      <c r="E31" s="37"/>
      <c r="F31" s="22" t="s">
        <v>52</v>
      </c>
      <c r="G31" s="84"/>
    </row>
    <row r="32" spans="1:15" ht="31.5" x14ac:dyDescent="0.25">
      <c r="A32" s="62">
        <f>IF(ISBLANK(B32),"",_xlfn.ISOWEEKNUM('Journal de travail'!$B32))</f>
        <v>49</v>
      </c>
      <c r="B32" s="30">
        <v>45996</v>
      </c>
      <c r="C32" s="31">
        <v>1</v>
      </c>
      <c r="D32" s="32">
        <v>15</v>
      </c>
      <c r="E32" s="33" t="s">
        <v>19</v>
      </c>
      <c r="F32" s="23" t="s">
        <v>63</v>
      </c>
      <c r="G32" s="85" t="s">
        <v>72</v>
      </c>
    </row>
    <row r="33" spans="1:7" ht="31.5" x14ac:dyDescent="0.25">
      <c r="A33" s="63">
        <f>IF(ISBLANK(B33),"",_xlfn.ISOWEEKNUM('Journal de travail'!$B33))</f>
        <v>49</v>
      </c>
      <c r="B33" s="34">
        <v>45996</v>
      </c>
      <c r="C33" s="35"/>
      <c r="D33" s="36">
        <v>55</v>
      </c>
      <c r="E33" s="37" t="s">
        <v>19</v>
      </c>
      <c r="F33" s="23" t="s">
        <v>62</v>
      </c>
      <c r="G33" s="40" t="s">
        <v>61</v>
      </c>
    </row>
    <row r="34" spans="1:7" x14ac:dyDescent="0.25">
      <c r="A34" s="62">
        <f>IF(ISBLANK(B34),"",_xlfn.ISOWEEKNUM('Journal de travail'!$B34))</f>
        <v>49</v>
      </c>
      <c r="B34" s="30">
        <v>45996</v>
      </c>
      <c r="C34" s="31"/>
      <c r="D34" s="32">
        <v>5</v>
      </c>
      <c r="E34" s="33" t="s">
        <v>4</v>
      </c>
      <c r="F34" s="22" t="s">
        <v>37</v>
      </c>
      <c r="G34" s="39"/>
    </row>
    <row r="35" spans="1:7" x14ac:dyDescent="0.25">
      <c r="A35" s="63">
        <f>IF(ISBLANK(B35),"",_xlfn.ISOWEEKNUM('Journal de travail'!$B35))</f>
        <v>49</v>
      </c>
      <c r="B35" s="34">
        <v>45996</v>
      </c>
      <c r="C35" s="35"/>
      <c r="D35" s="36"/>
      <c r="E35" s="37"/>
      <c r="F35" s="23" t="s">
        <v>60</v>
      </c>
      <c r="G35" s="40"/>
    </row>
    <row r="36" spans="1:7" x14ac:dyDescent="0.25">
      <c r="A36" s="62">
        <f>IF(ISBLANK(B36),"",_xlfn.ISOWEEKNUM('Journal de travail'!$B36))</f>
        <v>50</v>
      </c>
      <c r="B36" s="30">
        <v>46003</v>
      </c>
      <c r="C36" s="31"/>
      <c r="D36" s="32"/>
      <c r="E36" s="33" t="s">
        <v>28</v>
      </c>
      <c r="F36" s="22" t="s">
        <v>69</v>
      </c>
      <c r="G36" s="39"/>
    </row>
    <row r="37" spans="1:7" x14ac:dyDescent="0.25">
      <c r="A37" s="63">
        <f>IF(ISBLANK(B37),"",_xlfn.ISOWEEKNUM('Journal de travail'!$B37))</f>
        <v>51</v>
      </c>
      <c r="B37" s="34">
        <v>46008</v>
      </c>
      <c r="C37" s="35">
        <v>1</v>
      </c>
      <c r="D37" s="36">
        <v>35</v>
      </c>
      <c r="E37" s="37" t="s">
        <v>19</v>
      </c>
      <c r="F37" s="22" t="s">
        <v>64</v>
      </c>
      <c r="G37" s="40" t="s">
        <v>70</v>
      </c>
    </row>
    <row r="38" spans="1:7" x14ac:dyDescent="0.25">
      <c r="A38" s="62">
        <f>IF(ISBLANK(B38),"",_xlfn.ISOWEEKNUM('Journal de travail'!$B38))</f>
        <v>51</v>
      </c>
      <c r="B38" s="30">
        <v>46010</v>
      </c>
      <c r="C38" s="31"/>
      <c r="D38" s="32">
        <v>15</v>
      </c>
      <c r="E38" s="33" t="s">
        <v>3</v>
      </c>
      <c r="F38" s="22" t="s">
        <v>65</v>
      </c>
      <c r="G38" s="39"/>
    </row>
    <row r="39" spans="1:7" x14ac:dyDescent="0.25">
      <c r="A39" s="63">
        <f>IF(ISBLANK(B39),"",_xlfn.ISOWEEKNUM('Journal de travail'!$B39))</f>
        <v>51</v>
      </c>
      <c r="B39" s="34">
        <v>46010</v>
      </c>
      <c r="C39" s="35"/>
      <c r="D39" s="36">
        <v>30</v>
      </c>
      <c r="E39" s="37" t="s">
        <v>19</v>
      </c>
      <c r="F39" s="22" t="s">
        <v>66</v>
      </c>
      <c r="G39" s="40"/>
    </row>
    <row r="40" spans="1:7" x14ac:dyDescent="0.25">
      <c r="A40" s="62">
        <f>IF(ISBLANK(B40),"",_xlfn.ISOWEEKNUM('Journal de travail'!$B40))</f>
        <v>51</v>
      </c>
      <c r="B40" s="30">
        <v>46010</v>
      </c>
      <c r="C40" s="31"/>
      <c r="D40" s="32">
        <v>40</v>
      </c>
      <c r="E40" s="33" t="s">
        <v>4</v>
      </c>
      <c r="F40" s="22" t="s">
        <v>67</v>
      </c>
      <c r="G40" s="39"/>
    </row>
    <row r="41" spans="1:7" ht="47.25" x14ac:dyDescent="0.25">
      <c r="A41" s="63">
        <f>IF(ISBLANK(B41),"",_xlfn.ISOWEEKNUM('Journal de travail'!$B41))</f>
        <v>51</v>
      </c>
      <c r="B41" s="34">
        <v>46010</v>
      </c>
      <c r="C41" s="35"/>
      <c r="D41" s="36">
        <v>45</v>
      </c>
      <c r="E41" s="37" t="s">
        <v>19</v>
      </c>
      <c r="F41" s="22" t="s">
        <v>68</v>
      </c>
      <c r="G41" s="40" t="s">
        <v>71</v>
      </c>
    </row>
    <row r="42" spans="1:7" x14ac:dyDescent="0.25">
      <c r="A42" s="62">
        <f>IF(ISBLANK(B42),"",_xlfn.ISOWEEKNUM('Journal de travail'!$B42))</f>
        <v>51</v>
      </c>
      <c r="B42" s="30">
        <v>46010</v>
      </c>
      <c r="C42" s="31"/>
      <c r="D42" s="32">
        <v>5</v>
      </c>
      <c r="E42" s="33" t="s">
        <v>4</v>
      </c>
      <c r="F42" s="22" t="s">
        <v>37</v>
      </c>
      <c r="G42" s="39"/>
    </row>
    <row r="43" spans="1:7" x14ac:dyDescent="0.25">
      <c r="A43" s="63">
        <f>IF(ISBLANK(B43),"",_xlfn.ISOWEEKNUM('Journal de travail'!$B43))</f>
        <v>51</v>
      </c>
      <c r="B43" s="34">
        <v>46010</v>
      </c>
      <c r="C43" s="35"/>
      <c r="D43" s="36"/>
      <c r="E43" s="37"/>
      <c r="F43" s="22" t="s">
        <v>73</v>
      </c>
      <c r="G43" s="40"/>
    </row>
    <row r="44" spans="1:7" x14ac:dyDescent="0.25">
      <c r="A44" s="62">
        <f>IF(ISBLANK(B44),"",_xlfn.ISOWEEKNUM('Journal de travail'!$B44))</f>
        <v>2</v>
      </c>
      <c r="B44" s="30">
        <v>46031</v>
      </c>
      <c r="C44" s="31"/>
      <c r="D44" s="32">
        <v>20</v>
      </c>
      <c r="E44" s="33" t="s">
        <v>4</v>
      </c>
      <c r="F44" s="22" t="s">
        <v>75</v>
      </c>
      <c r="G44" s="39" t="s">
        <v>81</v>
      </c>
    </row>
    <row r="45" spans="1:7" x14ac:dyDescent="0.25">
      <c r="A45" s="63">
        <f>IF(ISBLANK(B45),"",_xlfn.ISOWEEKNUM('Journal de travail'!$B45))</f>
        <v>2</v>
      </c>
      <c r="B45" s="34">
        <v>46031</v>
      </c>
      <c r="C45" s="35"/>
      <c r="D45" s="36">
        <v>10</v>
      </c>
      <c r="E45" s="37" t="s">
        <v>19</v>
      </c>
      <c r="F45" s="22" t="s">
        <v>76</v>
      </c>
      <c r="G45" s="40"/>
    </row>
    <row r="46" spans="1:7" x14ac:dyDescent="0.25">
      <c r="A46" s="62">
        <f>IF(ISBLANK(B46),"",_xlfn.ISOWEEKNUM('Journal de travail'!$B46))</f>
        <v>2</v>
      </c>
      <c r="B46" s="30">
        <v>46031</v>
      </c>
      <c r="C46" s="31"/>
      <c r="D46" s="32">
        <v>20</v>
      </c>
      <c r="E46" s="33" t="s">
        <v>3</v>
      </c>
      <c r="F46" s="22" t="s">
        <v>74</v>
      </c>
      <c r="G46" s="39"/>
    </row>
    <row r="47" spans="1:7" x14ac:dyDescent="0.25">
      <c r="A47" s="63">
        <f>IF(ISBLANK(B47),"",_xlfn.ISOWEEKNUM('Journal de travail'!$B47))</f>
        <v>2</v>
      </c>
      <c r="B47" s="34">
        <v>46031</v>
      </c>
      <c r="C47" s="35"/>
      <c r="D47" s="36">
        <v>20</v>
      </c>
      <c r="E47" s="37" t="s">
        <v>19</v>
      </c>
      <c r="F47" s="22" t="s">
        <v>77</v>
      </c>
      <c r="G47" s="40"/>
    </row>
    <row r="48" spans="1:7" x14ac:dyDescent="0.25">
      <c r="A48" s="62">
        <f>IF(ISBLANK(B48),"",_xlfn.ISOWEEKNUM('Journal de travail'!$B48))</f>
        <v>2</v>
      </c>
      <c r="B48" s="30">
        <v>46031</v>
      </c>
      <c r="C48" s="31"/>
      <c r="D48" s="32">
        <v>20</v>
      </c>
      <c r="E48" s="33" t="s">
        <v>19</v>
      </c>
      <c r="F48" s="22" t="s">
        <v>78</v>
      </c>
      <c r="G48" s="39"/>
    </row>
    <row r="49" spans="1:7" x14ac:dyDescent="0.25">
      <c r="A49" s="63">
        <f>IF(ISBLANK(B49),"",_xlfn.ISOWEEKNUM('Journal de travail'!$B49))</f>
        <v>2</v>
      </c>
      <c r="B49" s="34">
        <v>46031</v>
      </c>
      <c r="C49" s="35"/>
      <c r="D49" s="36">
        <v>20</v>
      </c>
      <c r="E49" s="37" t="s">
        <v>19</v>
      </c>
      <c r="F49" s="22" t="s">
        <v>79</v>
      </c>
      <c r="G49" s="40"/>
    </row>
    <row r="50" spans="1:7" x14ac:dyDescent="0.25">
      <c r="A50" s="62">
        <f>IF(ISBLANK(B50),"",_xlfn.ISOWEEKNUM('Journal de travail'!$B50))</f>
        <v>2</v>
      </c>
      <c r="B50" s="30">
        <v>46031</v>
      </c>
      <c r="C50" s="31"/>
      <c r="D50" s="32">
        <v>5</v>
      </c>
      <c r="E50" s="33" t="s">
        <v>4</v>
      </c>
      <c r="F50" s="22" t="s">
        <v>80</v>
      </c>
      <c r="G50" s="39"/>
    </row>
    <row r="51" spans="1:7" x14ac:dyDescent="0.25">
      <c r="A51" s="63">
        <f>IF(ISBLANK(B51),"",_xlfn.ISOWEEKNUM('Journal de travail'!$B51))</f>
        <v>2</v>
      </c>
      <c r="B51" s="34">
        <v>46031</v>
      </c>
      <c r="C51" s="35"/>
      <c r="D51" s="93" t="s">
        <v>83</v>
      </c>
      <c r="E51" s="94" t="s">
        <v>4</v>
      </c>
      <c r="F51" s="95" t="s">
        <v>37</v>
      </c>
      <c r="G51" s="40"/>
    </row>
    <row r="52" spans="1:7" x14ac:dyDescent="0.25">
      <c r="A52" s="62">
        <f>IF(ISBLANK(B52),"",_xlfn.ISOWEEKNUM('Journal de travail'!$B52))</f>
        <v>2</v>
      </c>
      <c r="B52" s="30">
        <v>46031</v>
      </c>
      <c r="C52" s="31"/>
      <c r="D52" s="32">
        <v>5</v>
      </c>
      <c r="E52" s="33" t="s">
        <v>2</v>
      </c>
      <c r="F52" s="22" t="s">
        <v>82</v>
      </c>
      <c r="G52" s="39"/>
    </row>
    <row r="53" spans="1:7" x14ac:dyDescent="0.25">
      <c r="A53" s="63">
        <f>IF(ISBLANK(B53),"",_xlfn.ISOWEEKNUM('Journal de travail'!$B53))</f>
        <v>2</v>
      </c>
      <c r="B53" s="34">
        <v>46031</v>
      </c>
      <c r="C53" s="35"/>
      <c r="D53" s="36"/>
      <c r="E53" s="37"/>
      <c r="F53" s="22" t="s">
        <v>73</v>
      </c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15 E1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15 D17:D50 D52:D532" xr:uid="{46510F84-8BCC-4BD6-9A19-9F03ACD74D05}">
      <formula1>$O$7:$O$19</formula1>
    </dataValidation>
    <dataValidation type="list" allowBlank="1" showInputMessage="1" showErrorMessage="1" sqref="E7:E15 E17:E50 E52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31" r:id="rId4" display="https://gist.github.com/takekazuomi/10955889" xr:uid="{14778DBD-AC08-49BE-B816-D74CEFC0A64E}"/>
    <hyperlink ref="G14" r:id="rId5" xr:uid="{64AB34B8-9A53-4FFA-8DD1-6FAFB9B69698}"/>
    <hyperlink ref="G16" r:id="rId6" xr:uid="{4728AE8E-9C80-4EF2-8BFD-49D552936D18}"/>
    <hyperlink ref="G32" r:id="rId7" xr:uid="{698FEDA0-59EA-42A4-AD26-DA69F598CB1B}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zoomScale="70" zoomScaleNormal="70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5</v>
      </c>
      <c r="C6">
        <f t="shared" ref="C6:C10" si="0">SUM(A6:B6)</f>
        <v>5</v>
      </c>
      <c r="E6" s="70" t="str">
        <f>'Journal de travail'!M8</f>
        <v>Analyse</v>
      </c>
      <c r="F6" s="71" t="str">
        <f>QUOTIENT(SUM(A6:B6),60)&amp;" h "&amp;TEXT(MOD(SUM(A6:B6),60), "00")&amp;" min"</f>
        <v>0 h 05 min</v>
      </c>
      <c r="G6" s="72">
        <f>SUM(A6:B6)/$C$11</f>
        <v>5.1813471502590676E-3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635</v>
      </c>
      <c r="C7">
        <f t="shared" si="0"/>
        <v>755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12 h 35 min</v>
      </c>
      <c r="G7" s="75">
        <f t="shared" ref="G7:G9" si="2">SUM(A7:B7)/$C$11</f>
        <v>0.78238341968911918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35</v>
      </c>
      <c r="C8">
        <f t="shared" si="0"/>
        <v>35</v>
      </c>
      <c r="E8" s="76" t="str">
        <f>'Journal de travail'!M10</f>
        <v>Test</v>
      </c>
      <c r="F8" s="71" t="str">
        <f t="shared" si="1"/>
        <v>0 h 35 min</v>
      </c>
      <c r="G8" s="72">
        <f t="shared" si="2"/>
        <v>3.6269430051813469E-2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170</v>
      </c>
      <c r="C9">
        <f t="shared" si="0"/>
        <v>170</v>
      </c>
      <c r="E9" s="77" t="str">
        <f>'Journal de travail'!M11</f>
        <v>Documentation</v>
      </c>
      <c r="F9" s="74" t="str">
        <f t="shared" si="1"/>
        <v>2 h 50 min</v>
      </c>
      <c r="G9" s="75">
        <f t="shared" si="2"/>
        <v>0.17616580310880828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120</v>
      </c>
      <c r="B11">
        <f>SUM(B6:B10)</f>
        <v>845</v>
      </c>
      <c r="C11">
        <f>SUM(A11:B11)</f>
        <v>965</v>
      </c>
      <c r="E11" s="81" t="s">
        <v>18</v>
      </c>
      <c r="F11" s="71" t="str">
        <f t="shared" si="1"/>
        <v>16 h 05 min</v>
      </c>
      <c r="G11" s="82">
        <f>C11/C12</f>
        <v>0.67013888888888884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purl.org/dc/elements/1.1/"/>
    <ds:schemaRef ds:uri="http://schemas.microsoft.com/office/2006/documentManagement/types"/>
    <ds:schemaRef ds:uri="b5cf4370-ac38-4b9e-9836-ef6f5df64f24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eefa3612-053e-497a-ae76-8a76877f5e22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cp:lastPrinted>2026-01-09T09:44:12Z</cp:lastPrinted>
  <dcterms:created xsi:type="dcterms:W3CDTF">2023-11-21T20:00:34Z</dcterms:created>
  <dcterms:modified xsi:type="dcterms:W3CDTF">2026-01-09T10:01:40Z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