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520CE408-CD50-4F3B-B6F2-FCAA08E47F47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<sst xmlns="http://schemas.openxmlformats.org/spreadsheetml/2006/main" count="78" uniqueCount="52">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</sst>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260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0.75362318840579712</c:v>
                </c:pt>
                <c:pt idx="2">
                  <c:v>0</c:v>
                </c:pt>
                <c:pt idx="3">
                  <c:v>0.24637681159420291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24" sqref="F2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5 heures 45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345</v>
      </c>
      <c r="E4" s="24">
        <f>SUM(C4:D4)</f>
        <v>345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260</v>
      </c>
      <c r="C7">
        <f t="shared" si="0"/>
        <v>260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4 h 20 min</v>
      </c>
      <c r="G7" s="75">
        <f t="shared" ref="G7:G9" si="2">SUM(A7:B7)/$C$11</f>
        <v>0.75362318840579712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85</v>
      </c>
      <c r="C9">
        <f t="shared" si="0"/>
        <v>85</v>
      </c>
      <c r="E9" s="77" t="str">
        <f>'Journal de travail'!M11</f>
        <v>Documentation</v>
      </c>
      <c r="F9" s="74" t="str">
        <f t="shared" si="1"/>
        <v>1 h 25 min</v>
      </c>
      <c r="G9" s="75">
        <f t="shared" si="2"/>
        <v>0.24637681159420291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345</v>
      </c>
      <c r="C11">
        <f>SUM(A11:B11)</f>
        <v>345</v>
      </c>
      <c r="E11" s="81" t="s">
        <v>18</v>
      </c>
      <c r="F11" s="71" t="str">
        <f t="shared" si="1"/>
        <v>5 h 45 min</v>
      </c>
      <c r="G11" s="82">
        <f>C11/C12</f>
        <v>0.23958333333333334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2025-11-21T10:21:45Z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