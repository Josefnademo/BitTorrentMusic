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99AA6EED-3E4C-4043-8D85-0506D5DA925C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<sst xmlns="http://schemas.openxmlformats.org/spreadsheetml/2006/main" count="50" uniqueCount="38">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</sst>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35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0.35</c:v>
                </c:pt>
                <c:pt idx="2">
                  <c:v>0</c:v>
                </c:pt>
                <c:pt idx="3">
                  <c:v>0.65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4" sqref="F1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34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1 heures 40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100</v>
      </c>
      <c r="E4" s="24">
        <f>SUM(C4:D4)</f>
        <v>100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ht="63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84"/>
      <c r="N13">
        <v>6</v>
      </c>
      <c r="O13">
        <v>25</v>
      </c>
    </row>
    <row r="14" spans="1:15" ht="31.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ht="31.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ht="78.7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ht="47.2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ht="31.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ht="31.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ht="31.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ht="157.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35</v>
      </c>
      <c r="C7">
        <f t="shared" si="0"/>
        <v>35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35 min</v>
      </c>
      <c r="G7" s="75">
        <f t="shared" ref="G7:G9" si="2">SUM(A7:B7)/$C$11</f>
        <v>0.35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65</v>
      </c>
      <c r="C9">
        <f t="shared" si="0"/>
        <v>65</v>
      </c>
      <c r="E9" s="77" t="str">
        <f>'Journal de travail'!M11</f>
        <v>Documentation</v>
      </c>
      <c r="F9" s="74" t="str">
        <f t="shared" si="1"/>
        <v>1 h 05 min</v>
      </c>
      <c r="G9" s="75">
        <f t="shared" si="2"/>
        <v>0.65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100</v>
      </c>
      <c r="C11">
        <f>SUM(A11:B11)</f>
        <v>100</v>
      </c>
      <c r="E11" s="81" t="s">
        <v>18</v>
      </c>
      <c r="F11" s="71" t="str">
        <f t="shared" si="1"/>
        <v>1 h 40 min</v>
      </c>
      <c r="G11" s="82">
        <f>C11/C12</f>
        <v>6.9444444444444448E-2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2025-11-07T09:18:11Z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