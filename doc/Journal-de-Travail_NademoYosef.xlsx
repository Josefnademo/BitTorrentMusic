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839D642E-8A9C-4840-A79E-0DC4F25FDA3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  <definedName name="_xlnm.Print_Area" localSheetId="0">'Journal de travail'!$A$1:$G$53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<sst xmlns="http://schemas.openxmlformats.org/spreadsheetml/2006/main" count="140" uniqueCount="84">
  <si>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</si>
  <si>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</si>
  <si>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</si>
  <si>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</si>
  <si>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</si>
  <si>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</si>
  <si>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</si>
  <si>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</si>
  <si>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</si>
  <si>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</si>
  <si>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</si>
  <si>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</si>
  <si>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</si>
  <si>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</si>
  <si>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</si>
  <si>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</si>
  <si>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</si>
  <si>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</si>
  <si>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</si>
  <si>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</si>
  <si>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</si>
  <si>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</si>
  <si>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</si>
  <si>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</si>
  <si>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</si>
  <si>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</si>
  <si>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</si>
  <si>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</si>
  <si>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</si>
  <si>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</si>
  <si>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</si>
  <si>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</si>
  <si>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</si>
  <si>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</si>
  <si>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</si>
  <si>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</si>
  <si>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</si>
  <si>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</si>
  <si>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</si>
  <si>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</si>
  <si>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</si>
  <si>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</si>
  <si>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</si>
  <si>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</si>
  <si>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</si>
  <si>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</si>
  <si>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</si>
  <si>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</si>
  <si>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</si>
  <si>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</si>
  <si>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</si>
  <si>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</si>
  <si>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</si>
  <si>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</si>
  <si>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</si>
  <si>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</si>
  <si>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</si>
  <si>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</si>
  <si>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</si>
  <si>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</si>
  <si>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</si>
  <si>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</si>
  <si>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</si>
  <si>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</si>
  <si>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</si>
  <si>
    <t>connexion et partage des donnees via mqtt</t>
  </si>
  <si>
    <t>correction des bugs(connexion et partage des donnees via mqtt)</t>
  </si>
  <si>
    <t>Documentation Technique - BitTorrentMusic.md</t>
  </si>
  <si>
    <t>addapted for class protocol and requests, to not be DEAF</t>
  </si>
  <si>
    <t>récompensé chez moi (17.12.2025) 1h35min</t>
  </si>
  <si>
    <t>chez moi</t>
  </si>
  <si>
    <t xml:space="preserve">OnMessage, switch, names of  actions in switch;   https://www.emqx.com/en/blog/connecting-to-serverless-mqtt-broker-with-mqttnet-in-csharp </t>
  </si>
  <si>
    <t>https://www.emqx.com/en/blog/connecting-to-serverless-mqtt-broker-with-mqttnet-in-csharp</t>
  </si>
  <si>
    <t>sous-total du jour [05.19.2025]: 2h15</t>
  </si>
  <si>
    <t>test de tout le parcours d'application</t>
  </si>
  <si>
    <t>amelioration de maquette pour corespendence, mis à jour</t>
  </si>
  <si>
    <t>fix(Timeout update)</t>
  </si>
  <si>
    <t>datagrid double-click fix,blinking and select of datagrid lines</t>
  </si>
  <si>
    <t>download path changement</t>
  </si>
  <si>
    <t>fix code to work together</t>
  </si>
  <si>
    <t>création d'une demo vidéo pour accelerer la vérification d'application</t>
  </si>
  <si>
    <t>https://github.com/Josefnademo/BitTorrentMusic/blob/main/doc/BitTorrentMusic_Maquette.pdf</t>
  </si>
  <si>
    <t>rendu final,création d'une release complète</t>
  </si>
  <si>
    <t>15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</si>
</sst>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rgb="FF9D9FAC"/>
      </top>
      <bottom style="thin">
        <color rgb="FF9D9FAC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8" fontId="17" fillId="0" borderId="4" xfId="0" applyNumberFormat="1" applyFont="1" applyFill="1" applyBorder="1" applyAlignment="1" applyProtection="1">
      <alignment horizontal="left"/>
      <protection locked="0"/>
    </xf>
    <xf numFmtId="0" fontId="17" fillId="14" borderId="4" xfId="0" applyFont="1" applyFill="1" applyBorder="1" applyProtection="1">
      <protection locked="0"/>
    </xf>
    <xf numFmtId="0" fontId="17" fillId="0" borderId="4" xfId="0" applyFont="1" applyBorder="1" applyAlignment="1" applyProtection="1">
      <alignment vertical="center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5</c:v>
                </c:pt>
                <c:pt idx="1">
                  <c:v>755</c:v>
                </c:pt>
                <c:pt idx="2">
                  <c:v>35</c:v>
                </c:pt>
                <c:pt idx="3">
                  <c:v>170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5.1813471502590676E-3</c:v>
                </c:pt>
                <c:pt idx="1">
                  <c:v>0.78238341968911918</c:v>
                </c:pt>
                <c:pt idx="2">
                  <c:v>3.6269430051813469E-2</c:v>
                </c:pt>
                <c:pt idx="3">
                  <c:v>0.17616580310880828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coingecko.com/en/api?" TargetMode="External"/><Relationship Id="rId7" Type="http://schemas.openxmlformats.org/officeDocument/2006/relationships/hyperlink" Target="https://www.emqx.com/en/blog/connecting-to-serverless-mqtt-broker-with-mqttnet-in-csharp" TargetMode="Externa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view="pageBreakPreview" zoomScale="60" zoomScaleNormal="70" workbookViewId="0">
      <pane ySplit="6" topLeftCell="A7" activePane="bottomLeft" state="frozen"/>
      <selection pane="bottomLeft" activeCell="F10" sqref="F1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5" t="s">
        <v>0</v>
      </c>
      <c r="B2" s="95"/>
      <c r="C2" s="93" t="s">
        <v>29</v>
      </c>
      <c r="D2" s="93"/>
      <c r="E2" s="93"/>
      <c r="F2" s="5" t="s">
        <v>1</v>
      </c>
      <c r="G2" s="64" t="s">
        <v>34</v>
      </c>
    </row>
    <row r="3" spans="1:15" ht="23.25" x14ac:dyDescent="0.35">
      <c r="A3" s="95" t="s">
        <v>5</v>
      </c>
      <c r="B3" s="95"/>
      <c r="C3" s="67" t="str">
        <f>QUOTIENT(E4,60)&amp;" heures "&amp;MOD(E4,60)&amp;" minutes"</f>
        <v>16 heures 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845</v>
      </c>
      <c r="E4" s="24">
        <f>SUM(C4:D4)</f>
        <v>965</v>
      </c>
      <c r="F4" s="4"/>
      <c r="G4" s="6"/>
    </row>
    <row r="5" spans="1:15" x14ac:dyDescent="0.25">
      <c r="C5" s="94" t="s">
        <v>14</v>
      </c>
      <c r="D5" s="94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ht="31.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85" t="s">
        <v>72</v>
      </c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28</v>
      </c>
      <c r="F36" s="22" t="s">
        <v>69</v>
      </c>
      <c r="G36" s="39"/>
    </row>
    <row r="37" spans="1:7" x14ac:dyDescent="0.25">
      <c r="A37" s="63">
        <f>IF(ISBLANK(B37),"",_xlfn.ISOWEEKNUM('Journal de travail'!$B37))</f>
        <v>51</v>
      </c>
      <c r="B37" s="34">
        <v>46008</v>
      </c>
      <c r="C37" s="35">
        <v>1</v>
      </c>
      <c r="D37" s="36">
        <v>35</v>
      </c>
      <c r="E37" s="37" t="s">
        <v>19</v>
      </c>
      <c r="F37" s="22" t="s">
        <v>64</v>
      </c>
      <c r="G37" s="40" t="s">
        <v>70</v>
      </c>
    </row>
    <row r="38" spans="1:7" x14ac:dyDescent="0.25">
      <c r="A38" s="62">
        <f>IF(ISBLANK(B38),"",_xlfn.ISOWEEKNUM('Journal de travail'!$B38))</f>
        <v>51</v>
      </c>
      <c r="B38" s="30">
        <v>46010</v>
      </c>
      <c r="C38" s="31"/>
      <c r="D38" s="32">
        <v>15</v>
      </c>
      <c r="E38" s="33" t="s">
        <v>3</v>
      </c>
      <c r="F38" s="22" t="s">
        <v>65</v>
      </c>
      <c r="G38" s="39"/>
    </row>
    <row r="39" spans="1:7" x14ac:dyDescent="0.25">
      <c r="A39" s="63">
        <f>IF(ISBLANK(B39),"",_xlfn.ISOWEEKNUM('Journal de travail'!$B39))</f>
        <v>51</v>
      </c>
      <c r="B39" s="34">
        <v>46010</v>
      </c>
      <c r="C39" s="35"/>
      <c r="D39" s="36">
        <v>30</v>
      </c>
      <c r="E39" s="37" t="s">
        <v>19</v>
      </c>
      <c r="F39" s="22" t="s">
        <v>66</v>
      </c>
      <c r="G39" s="40"/>
    </row>
    <row r="40" spans="1:7" x14ac:dyDescent="0.25">
      <c r="A40" s="62">
        <f>IF(ISBLANK(B40),"",_xlfn.ISOWEEKNUM('Journal de travail'!$B40))</f>
        <v>51</v>
      </c>
      <c r="B40" s="30">
        <v>46010</v>
      </c>
      <c r="C40" s="31"/>
      <c r="D40" s="32">
        <v>40</v>
      </c>
      <c r="E40" s="33" t="s">
        <v>4</v>
      </c>
      <c r="F40" s="22" t="s">
        <v>67</v>
      </c>
      <c r="G40" s="39"/>
    </row>
    <row r="41" spans="1:7" ht="47.25" x14ac:dyDescent="0.25">
      <c r="A41" s="63">
        <f>IF(ISBLANK(B41),"",_xlfn.ISOWEEKNUM('Journal de travail'!$B41))</f>
        <v>51</v>
      </c>
      <c r="B41" s="34">
        <v>46010</v>
      </c>
      <c r="C41" s="35"/>
      <c r="D41" s="36">
        <v>45</v>
      </c>
      <c r="E41" s="37" t="s">
        <v>19</v>
      </c>
      <c r="F41" s="22" t="s">
        <v>68</v>
      </c>
      <c r="G41" s="40" t="s">
        <v>71</v>
      </c>
    </row>
    <row r="42" spans="1:7" x14ac:dyDescent="0.25">
      <c r="A42" s="62">
        <f>IF(ISBLANK(B42),"",_xlfn.ISOWEEKNUM('Journal de travail'!$B42))</f>
        <v>51</v>
      </c>
      <c r="B42" s="30">
        <v>46010</v>
      </c>
      <c r="C42" s="31"/>
      <c r="D42" s="32">
        <v>5</v>
      </c>
      <c r="E42" s="33" t="s">
        <v>4</v>
      </c>
      <c r="F42" s="22" t="s">
        <v>37</v>
      </c>
      <c r="G42" s="39"/>
    </row>
    <row r="43" spans="1:7" x14ac:dyDescent="0.25">
      <c r="A43" s="63">
        <f>IF(ISBLANK(B43),"",_xlfn.ISOWEEKNUM('Journal de travail'!$B43))</f>
        <v>51</v>
      </c>
      <c r="B43" s="34">
        <v>46010</v>
      </c>
      <c r="C43" s="35"/>
      <c r="D43" s="36"/>
      <c r="E43" s="37"/>
      <c r="F43" s="22" t="s">
        <v>73</v>
      </c>
      <c r="G43" s="40"/>
    </row>
    <row r="44" spans="1:7" ht="31.5" x14ac:dyDescent="0.25">
      <c r="A44" s="62">
        <f>IF(ISBLANK(B44),"",_xlfn.ISOWEEKNUM('Journal de travail'!$B44))</f>
        <v>2</v>
      </c>
      <c r="B44" s="30">
        <v>46031</v>
      </c>
      <c r="C44" s="31"/>
      <c r="D44" s="32">
        <v>20</v>
      </c>
      <c r="E44" s="33" t="s">
        <v>4</v>
      </c>
      <c r="F44" s="22" t="s">
        <v>75</v>
      </c>
      <c r="G44" s="39" t="s">
        <v>81</v>
      </c>
    </row>
    <row r="45" spans="1:7" x14ac:dyDescent="0.25">
      <c r="A45" s="63">
        <f>IF(ISBLANK(B45),"",_xlfn.ISOWEEKNUM('Journal de travail'!$B45))</f>
        <v>2</v>
      </c>
      <c r="B45" s="34">
        <v>46031</v>
      </c>
      <c r="C45" s="35"/>
      <c r="D45" s="36">
        <v>10</v>
      </c>
      <c r="E45" s="37" t="s">
        <v>19</v>
      </c>
      <c r="F45" s="22" t="s">
        <v>76</v>
      </c>
      <c r="G45" s="40"/>
    </row>
    <row r="46" spans="1:7" x14ac:dyDescent="0.25">
      <c r="A46" s="62">
        <f>IF(ISBLANK(B46),"",_xlfn.ISOWEEKNUM('Journal de travail'!$B46))</f>
        <v>2</v>
      </c>
      <c r="B46" s="30">
        <v>46031</v>
      </c>
      <c r="C46" s="31"/>
      <c r="D46" s="32">
        <v>20</v>
      </c>
      <c r="E46" s="33" t="s">
        <v>3</v>
      </c>
      <c r="F46" s="22" t="s">
        <v>74</v>
      </c>
      <c r="G46" s="39"/>
    </row>
    <row r="47" spans="1:7" x14ac:dyDescent="0.25">
      <c r="A47" s="63">
        <f>IF(ISBLANK(B47),"",_xlfn.ISOWEEKNUM('Journal de travail'!$B47))</f>
        <v>2</v>
      </c>
      <c r="B47" s="34">
        <v>46031</v>
      </c>
      <c r="C47" s="35"/>
      <c r="D47" s="36">
        <v>20</v>
      </c>
      <c r="E47" s="37" t="s">
        <v>19</v>
      </c>
      <c r="F47" s="22" t="s">
        <v>77</v>
      </c>
      <c r="G47" s="40"/>
    </row>
    <row r="48" spans="1:7" x14ac:dyDescent="0.25">
      <c r="A48" s="62">
        <f>IF(ISBLANK(B48),"",_xlfn.ISOWEEKNUM('Journal de travail'!$B48))</f>
        <v>2</v>
      </c>
      <c r="B48" s="30">
        <v>46031</v>
      </c>
      <c r="C48" s="31"/>
      <c r="D48" s="32">
        <v>20</v>
      </c>
      <c r="E48" s="33" t="s">
        <v>19</v>
      </c>
      <c r="F48" s="22" t="s">
        <v>78</v>
      </c>
      <c r="G48" s="39"/>
    </row>
    <row r="49" spans="1:7" x14ac:dyDescent="0.25">
      <c r="A49" s="63">
        <f>IF(ISBLANK(B49),"",_xlfn.ISOWEEKNUM('Journal de travail'!$B49))</f>
        <v>2</v>
      </c>
      <c r="B49" s="34">
        <v>46031</v>
      </c>
      <c r="C49" s="35"/>
      <c r="D49" s="36">
        <v>20</v>
      </c>
      <c r="E49" s="37" t="s">
        <v>19</v>
      </c>
      <c r="F49" s="22" t="s">
        <v>79</v>
      </c>
      <c r="G49" s="40"/>
    </row>
    <row r="50" spans="1:7" x14ac:dyDescent="0.25">
      <c r="A50" s="62">
        <f>IF(ISBLANK(B50),"",_xlfn.ISOWEEKNUM('Journal de travail'!$B50))</f>
        <v>2</v>
      </c>
      <c r="B50" s="30">
        <v>46031</v>
      </c>
      <c r="C50" s="31"/>
      <c r="D50" s="32">
        <v>5</v>
      </c>
      <c r="E50" s="33" t="s">
        <v>4</v>
      </c>
      <c r="F50" s="22" t="s">
        <v>80</v>
      </c>
      <c r="G50" s="39"/>
    </row>
    <row r="51" spans="1:7" x14ac:dyDescent="0.25">
      <c r="A51" s="63">
        <f>IF(ISBLANK(B51),"",_xlfn.ISOWEEKNUM('Journal de travail'!$B51))</f>
        <v>2</v>
      </c>
      <c r="B51" s="34">
        <v>46031</v>
      </c>
      <c r="C51" s="35"/>
      <c r="D51" s="90" t="s">
        <v>83</v>
      </c>
      <c r="E51" s="91" t="s">
        <v>4</v>
      </c>
      <c r="F51" s="92" t="s">
        <v>37</v>
      </c>
      <c r="G51" s="40"/>
    </row>
    <row r="52" spans="1:7" x14ac:dyDescent="0.25">
      <c r="A52" s="62">
        <f>IF(ISBLANK(B52),"",_xlfn.ISOWEEKNUM('Journal de travail'!$B52))</f>
        <v>2</v>
      </c>
      <c r="B52" s="30">
        <v>46031</v>
      </c>
      <c r="C52" s="31"/>
      <c r="D52" s="32">
        <v>5</v>
      </c>
      <c r="E52" s="33" t="s">
        <v>2</v>
      </c>
      <c r="F52" s="22" t="s">
        <v>82</v>
      </c>
      <c r="G52" s="39"/>
    </row>
    <row r="53" spans="1:7" x14ac:dyDescent="0.25">
      <c r="A53" s="63">
        <f>IF(ISBLANK(B53),"",_xlfn.ISOWEEKNUM('Journal de travail'!$B53))</f>
        <v>2</v>
      </c>
      <c r="B53" s="34">
        <v>46031</v>
      </c>
      <c r="C53" s="35"/>
      <c r="D53" s="36"/>
      <c r="E53" s="37"/>
      <c r="F53" s="22" t="s">
        <v>73</v>
      </c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0 D52:D532" xr:uid="{46510F84-8BCC-4BD6-9A19-9F03ACD74D05}">
      <formula1>$O$7:$O$19</formula1>
    </dataValidation>
    <dataValidation type="list" allowBlank="1" showInputMessage="1" showErrorMessage="1" sqref="E7:E15 E17:E50 E52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  <hyperlink ref="G32" r:id="rId7" xr:uid="{698FEDA0-59EA-42A4-AD26-DA69F598CB1B}"/>
  </hyperlinks>
  <pageMargins left="0.7" right="0.7" top="0.75" bottom="0.75" header="0.3" footer="0.3"/>
  <pageSetup paperSize="9" scale="36" orientation="portrait"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5</v>
      </c>
      <c r="C6">
        <f t="shared" ref="C6:C10" si="0">SUM(A6:B6)</f>
        <v>5</v>
      </c>
      <c r="E6" s="70" t="str">
        <f>'Journal de travail'!M8</f>
        <v>Analyse</v>
      </c>
      <c r="F6" s="71" t="str">
        <f>QUOTIENT(SUM(A6:B6),60)&amp;" h "&amp;TEXT(MOD(SUM(A6:B6),60), "00")&amp;" min"</f>
        <v>0 h 05 min</v>
      </c>
      <c r="G6" s="72">
        <f>SUM(A6:B6)/$C$11</f>
        <v>5.1813471502590676E-3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635</v>
      </c>
      <c r="C7">
        <f t="shared" si="0"/>
        <v>755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12 h 35 min</v>
      </c>
      <c r="G7" s="75">
        <f t="shared" ref="G7:G9" si="2">SUM(A7:B7)/$C$11</f>
        <v>0.78238341968911918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35</v>
      </c>
      <c r="C8">
        <f t="shared" si="0"/>
        <v>35</v>
      </c>
      <c r="E8" s="76" t="str">
        <f>'Journal de travail'!M10</f>
        <v>Test</v>
      </c>
      <c r="F8" s="71" t="str">
        <f t="shared" si="1"/>
        <v>0 h 35 min</v>
      </c>
      <c r="G8" s="72">
        <f t="shared" si="2"/>
        <v>3.6269430051813469E-2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170</v>
      </c>
      <c r="C9">
        <f t="shared" si="0"/>
        <v>170</v>
      </c>
      <c r="E9" s="77" t="str">
        <f>'Journal de travail'!M11</f>
        <v>Documentation</v>
      </c>
      <c r="F9" s="74" t="str">
        <f t="shared" si="1"/>
        <v>2 h 50 min</v>
      </c>
      <c r="G9" s="75">
        <f t="shared" si="2"/>
        <v>0.17616580310880828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845</v>
      </c>
      <c r="C11">
        <f>SUM(A11:B11)</f>
        <v>965</v>
      </c>
      <c r="E11" s="81" t="s">
        <v>18</v>
      </c>
      <c r="F11" s="71" t="str">
        <f t="shared" si="1"/>
        <v>16 h 05 min</v>
      </c>
      <c r="G11" s="82">
        <f>C11/C12</f>
        <v>0.67013888888888884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dcmitype/"/>
    <ds:schemaRef ds:uri="http://schemas.microsoft.com/office/2006/metadata/properties"/>
    <ds:schemaRef ds:uri="b5cf4370-ac38-4b9e-9836-ef6f5df64f24"/>
    <ds:schemaRef ds:uri="http://schemas.microsoft.com/office/2006/documentManagement/types"/>
    <ds:schemaRef ds:uri="http://purl.org/dc/elements/1.1/"/>
    <ds:schemaRef ds:uri="http://www.w3.org/XML/1998/namespace"/>
    <ds:schemaRef ds:uri="eefa3612-053e-497a-ae76-8a76877f5e22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Journal de travail</vt:lpstr>
      <vt:lpstr>Plannification</vt:lpstr>
      <vt:lpstr>Initiale VS Effective</vt:lpstr>
      <vt:lpstr>'Journal de travail'!_FilterDatabase</vt:lpstr>
      <vt:lpstr>'Journal de travail'!Zone_d_impression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cp:lastPrinted>2026-01-09T10:18:21Z</cp:lastPrinted>
  <dcterms:created xsi:type="dcterms:W3CDTF">2023-11-21T20:00:34Z</dcterms:created>
  <dcterms:modified xsi:type="dcterms:W3CDTF">2026-01-09T10:18:53Z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